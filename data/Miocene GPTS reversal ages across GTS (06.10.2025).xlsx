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Drury/Documents/Anna Joy/Data/Collaborations/MioOcean/Age model group/Hackathons/Hackathon 1 - Age Scale Discussion/"/>
    </mc:Choice>
  </mc:AlternateContent>
  <xr:revisionPtr revIDLastSave="0" documentId="13_ncr:1_{6D6B9D84-3A81-FD48-B223-E429C571A014}" xr6:coauthVersionLast="47" xr6:coauthVersionMax="47" xr10:uidLastSave="{00000000-0000-0000-0000-000000000000}"/>
  <bookViews>
    <workbookView xWindow="0" yWindow="500" windowWidth="51200" windowHeight="27440" xr2:uid="{EABBE038-32C2-2345-AF9A-99F1DF7CF68D}"/>
  </bookViews>
  <sheets>
    <sheet name="Preliminary MioOcean GP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8" i="1" l="1"/>
  <c r="P108" i="1"/>
  <c r="O108" i="1"/>
  <c r="C108" i="1"/>
  <c r="Q107" i="1"/>
  <c r="P107" i="1"/>
  <c r="O107" i="1"/>
  <c r="C107" i="1"/>
  <c r="Q106" i="1"/>
  <c r="P106" i="1"/>
  <c r="O106" i="1"/>
  <c r="C106" i="1"/>
  <c r="Q105" i="1"/>
  <c r="P105" i="1"/>
  <c r="O105" i="1"/>
  <c r="C105" i="1"/>
  <c r="S104" i="1"/>
  <c r="Q104" i="1"/>
  <c r="P104" i="1"/>
  <c r="O104" i="1"/>
  <c r="C104" i="1"/>
  <c r="S103" i="1"/>
  <c r="Q103" i="1"/>
  <c r="P103" i="1"/>
  <c r="O103" i="1"/>
  <c r="C103" i="1"/>
  <c r="S102" i="1"/>
  <c r="Q102" i="1"/>
  <c r="P102" i="1"/>
  <c r="O102" i="1"/>
  <c r="C102" i="1"/>
  <c r="S101" i="1"/>
  <c r="R101" i="1"/>
  <c r="Q101" i="1"/>
  <c r="P101" i="1"/>
  <c r="O101" i="1"/>
  <c r="C101" i="1"/>
  <c r="S100" i="1"/>
  <c r="R100" i="1"/>
  <c r="Q100" i="1"/>
  <c r="P100" i="1"/>
  <c r="O100" i="1"/>
  <c r="C100" i="1"/>
  <c r="S99" i="1"/>
  <c r="R99" i="1"/>
  <c r="Q99" i="1"/>
  <c r="P99" i="1"/>
  <c r="O99" i="1"/>
  <c r="C99" i="1"/>
  <c r="S98" i="1"/>
  <c r="R98" i="1"/>
  <c r="Q98" i="1"/>
  <c r="P98" i="1"/>
  <c r="O98" i="1"/>
  <c r="C98" i="1"/>
  <c r="S97" i="1"/>
  <c r="R97" i="1"/>
  <c r="Q97" i="1"/>
  <c r="P97" i="1"/>
  <c r="O97" i="1"/>
  <c r="C97" i="1"/>
  <c r="S96" i="1"/>
  <c r="R96" i="1"/>
  <c r="Q96" i="1"/>
  <c r="P96" i="1"/>
  <c r="O96" i="1"/>
  <c r="C96" i="1"/>
  <c r="S95" i="1"/>
  <c r="R95" i="1"/>
  <c r="Q95" i="1"/>
  <c r="P95" i="1"/>
  <c r="O95" i="1"/>
  <c r="C95" i="1"/>
  <c r="S94" i="1"/>
  <c r="Q94" i="1"/>
  <c r="P94" i="1"/>
  <c r="O94" i="1"/>
  <c r="C94" i="1"/>
  <c r="S93" i="1"/>
  <c r="Q93" i="1"/>
  <c r="P93" i="1"/>
  <c r="O93" i="1"/>
  <c r="C93" i="1"/>
  <c r="Q92" i="1"/>
  <c r="P92" i="1"/>
  <c r="O92" i="1"/>
  <c r="C92" i="1"/>
  <c r="Q91" i="1"/>
  <c r="P91" i="1"/>
  <c r="O91" i="1"/>
  <c r="C91" i="1"/>
  <c r="Q90" i="1"/>
  <c r="P90" i="1"/>
  <c r="O90" i="1"/>
  <c r="C90" i="1"/>
  <c r="Q89" i="1"/>
  <c r="P89" i="1"/>
  <c r="O89" i="1"/>
  <c r="C89" i="1"/>
  <c r="Q88" i="1"/>
  <c r="P88" i="1"/>
  <c r="O88" i="1"/>
  <c r="C88" i="1"/>
  <c r="Q87" i="1"/>
  <c r="P87" i="1"/>
  <c r="O87" i="1"/>
  <c r="C87" i="1"/>
  <c r="Q86" i="1"/>
  <c r="P86" i="1"/>
  <c r="O86" i="1"/>
  <c r="C86" i="1"/>
  <c r="Q85" i="1"/>
  <c r="P85" i="1"/>
  <c r="O85" i="1"/>
  <c r="C85" i="1"/>
  <c r="Q84" i="1"/>
  <c r="P84" i="1"/>
  <c r="O84" i="1"/>
  <c r="C84" i="1"/>
  <c r="Q83" i="1"/>
  <c r="P83" i="1"/>
  <c r="O83" i="1"/>
  <c r="C83" i="1"/>
  <c r="Q82" i="1"/>
  <c r="P82" i="1"/>
  <c r="O82" i="1"/>
  <c r="C82" i="1"/>
  <c r="Q81" i="1"/>
  <c r="P81" i="1"/>
  <c r="O81" i="1"/>
  <c r="C81" i="1"/>
  <c r="Q80" i="1"/>
  <c r="P80" i="1"/>
  <c r="O80" i="1"/>
  <c r="C80" i="1"/>
  <c r="Q79" i="1"/>
  <c r="P79" i="1"/>
  <c r="O79" i="1"/>
  <c r="C79" i="1"/>
  <c r="Q78" i="1"/>
  <c r="P78" i="1"/>
  <c r="O78" i="1"/>
  <c r="C78" i="1"/>
  <c r="Q77" i="1"/>
  <c r="P77" i="1"/>
  <c r="O77" i="1"/>
  <c r="C77" i="1"/>
  <c r="Q76" i="1"/>
  <c r="P76" i="1"/>
  <c r="O76" i="1"/>
  <c r="C76" i="1"/>
  <c r="Q75" i="1"/>
  <c r="P75" i="1"/>
  <c r="O75" i="1"/>
  <c r="C75" i="1"/>
  <c r="Q74" i="1"/>
  <c r="P74" i="1"/>
  <c r="O74" i="1"/>
  <c r="C74" i="1"/>
  <c r="Q73" i="1"/>
  <c r="P73" i="1"/>
  <c r="O73" i="1"/>
  <c r="C73" i="1"/>
  <c r="Q72" i="1"/>
  <c r="P72" i="1"/>
  <c r="O72" i="1"/>
  <c r="C72" i="1"/>
  <c r="Q71" i="1"/>
  <c r="P71" i="1"/>
  <c r="O71" i="1"/>
  <c r="C71" i="1"/>
  <c r="Q70" i="1"/>
  <c r="P70" i="1"/>
  <c r="O70" i="1"/>
  <c r="C70" i="1"/>
  <c r="Q69" i="1"/>
  <c r="P69" i="1"/>
  <c r="O69" i="1"/>
  <c r="C69" i="1"/>
  <c r="Q68" i="1"/>
  <c r="P68" i="1"/>
  <c r="O68" i="1"/>
  <c r="C68" i="1"/>
  <c r="Q67" i="1"/>
  <c r="P67" i="1"/>
  <c r="O67" i="1"/>
  <c r="C67" i="1"/>
  <c r="Q66" i="1"/>
  <c r="P66" i="1"/>
  <c r="O66" i="1"/>
  <c r="C66" i="1"/>
  <c r="Q65" i="1"/>
  <c r="P65" i="1"/>
  <c r="O65" i="1"/>
  <c r="C65" i="1"/>
  <c r="Q64" i="1"/>
  <c r="P64" i="1"/>
  <c r="O64" i="1"/>
  <c r="C64" i="1"/>
  <c r="Q63" i="1"/>
  <c r="P63" i="1"/>
  <c r="O63" i="1"/>
  <c r="C63" i="1"/>
  <c r="Q62" i="1"/>
  <c r="P62" i="1"/>
  <c r="O62" i="1"/>
  <c r="C62" i="1"/>
  <c r="Q61" i="1"/>
  <c r="P61" i="1"/>
  <c r="O61" i="1"/>
  <c r="C61" i="1"/>
  <c r="Q60" i="1"/>
  <c r="P60" i="1"/>
  <c r="O60" i="1"/>
  <c r="C60" i="1"/>
  <c r="Q59" i="1"/>
  <c r="P59" i="1"/>
  <c r="O59" i="1"/>
  <c r="C59" i="1"/>
  <c r="Q58" i="1"/>
  <c r="P58" i="1"/>
  <c r="O58" i="1"/>
  <c r="C58" i="1"/>
  <c r="Q57" i="1"/>
  <c r="P57" i="1"/>
  <c r="O57" i="1"/>
  <c r="C57" i="1"/>
  <c r="Q56" i="1"/>
  <c r="P56" i="1"/>
  <c r="O56" i="1"/>
  <c r="C56" i="1"/>
  <c r="Q55" i="1"/>
  <c r="P55" i="1"/>
  <c r="O55" i="1"/>
  <c r="C55" i="1"/>
  <c r="Q54" i="1"/>
  <c r="P54" i="1"/>
  <c r="O54" i="1"/>
  <c r="C54" i="1"/>
  <c r="Q53" i="1"/>
  <c r="P53" i="1"/>
  <c r="O53" i="1"/>
  <c r="C53" i="1"/>
  <c r="Q52" i="1"/>
  <c r="P52" i="1"/>
  <c r="O52" i="1"/>
  <c r="C52" i="1"/>
  <c r="Q51" i="1"/>
  <c r="P51" i="1"/>
  <c r="O51" i="1"/>
  <c r="C51" i="1"/>
  <c r="Q50" i="1"/>
  <c r="P50" i="1"/>
  <c r="O50" i="1"/>
  <c r="C50" i="1"/>
  <c r="Q49" i="1"/>
  <c r="P49" i="1"/>
  <c r="O49" i="1"/>
  <c r="C49" i="1"/>
  <c r="Q48" i="1"/>
  <c r="P48" i="1"/>
  <c r="O48" i="1"/>
  <c r="C48" i="1"/>
  <c r="Q47" i="1"/>
  <c r="P47" i="1"/>
  <c r="O47" i="1"/>
  <c r="C47" i="1"/>
  <c r="Q46" i="1"/>
  <c r="P46" i="1"/>
  <c r="O46" i="1"/>
  <c r="C46" i="1"/>
  <c r="Q43" i="1"/>
  <c r="P43" i="1"/>
  <c r="O43" i="1"/>
  <c r="C43" i="1"/>
  <c r="Q42" i="1"/>
  <c r="P42" i="1"/>
  <c r="O42" i="1"/>
  <c r="C42" i="1"/>
  <c r="Q41" i="1"/>
  <c r="P41" i="1"/>
  <c r="O41" i="1"/>
  <c r="C41" i="1"/>
  <c r="Q40" i="1"/>
  <c r="P40" i="1"/>
  <c r="O40" i="1"/>
  <c r="C40" i="1"/>
  <c r="Q39" i="1"/>
  <c r="P39" i="1"/>
  <c r="O39" i="1"/>
  <c r="C39" i="1"/>
  <c r="Q38" i="1"/>
  <c r="P38" i="1"/>
  <c r="O38" i="1"/>
  <c r="C38" i="1"/>
  <c r="Q37" i="1"/>
  <c r="P37" i="1"/>
  <c r="O37" i="1"/>
  <c r="C37" i="1"/>
  <c r="Q36" i="1"/>
  <c r="P36" i="1"/>
  <c r="O36" i="1"/>
  <c r="C36" i="1"/>
  <c r="Q35" i="1"/>
  <c r="P35" i="1"/>
  <c r="O35" i="1"/>
  <c r="C35" i="1"/>
  <c r="Q34" i="1"/>
  <c r="P34" i="1"/>
  <c r="O34" i="1"/>
  <c r="C34" i="1"/>
  <c r="Q33" i="1"/>
  <c r="P33" i="1"/>
  <c r="O33" i="1"/>
  <c r="C33" i="1"/>
  <c r="Q32" i="1"/>
  <c r="P32" i="1"/>
  <c r="O32" i="1"/>
  <c r="C32" i="1"/>
  <c r="Q29" i="1"/>
  <c r="P29" i="1"/>
  <c r="O29" i="1"/>
  <c r="C29" i="1"/>
  <c r="Q28" i="1"/>
  <c r="P28" i="1"/>
  <c r="O28" i="1"/>
  <c r="C28" i="1"/>
  <c r="Q27" i="1"/>
  <c r="P27" i="1"/>
  <c r="O27" i="1"/>
  <c r="C27" i="1"/>
  <c r="Q26" i="1"/>
  <c r="P26" i="1"/>
  <c r="O26" i="1"/>
  <c r="C26" i="1"/>
  <c r="Q25" i="1"/>
  <c r="P25" i="1"/>
  <c r="O25" i="1"/>
  <c r="C25" i="1"/>
  <c r="Q24" i="1"/>
  <c r="P24" i="1"/>
  <c r="O24" i="1"/>
  <c r="C24" i="1"/>
  <c r="Q23" i="1"/>
  <c r="P23" i="1"/>
  <c r="O23" i="1"/>
  <c r="C23" i="1"/>
  <c r="Q22" i="1"/>
  <c r="P22" i="1"/>
  <c r="O22" i="1"/>
  <c r="C22" i="1"/>
  <c r="Q21" i="1"/>
  <c r="P21" i="1"/>
  <c r="O21" i="1"/>
  <c r="C21" i="1"/>
  <c r="Q20" i="1"/>
  <c r="P20" i="1"/>
  <c r="O20" i="1"/>
  <c r="C20" i="1"/>
  <c r="Q19" i="1"/>
  <c r="P19" i="1"/>
  <c r="O19" i="1"/>
  <c r="C19" i="1"/>
  <c r="Q18" i="1"/>
  <c r="P18" i="1"/>
  <c r="O18" i="1"/>
  <c r="C18" i="1"/>
  <c r="Q17" i="1"/>
  <c r="P17" i="1"/>
  <c r="O17" i="1"/>
  <c r="C17" i="1"/>
  <c r="Q16" i="1"/>
  <c r="P16" i="1"/>
  <c r="O16" i="1"/>
  <c r="C16" i="1"/>
  <c r="Q15" i="1"/>
  <c r="P15" i="1"/>
  <c r="O15" i="1"/>
  <c r="C15" i="1"/>
  <c r="Q14" i="1"/>
  <c r="P14" i="1"/>
  <c r="O14" i="1"/>
  <c r="C14" i="1"/>
  <c r="Q13" i="1"/>
  <c r="P13" i="1"/>
  <c r="O13" i="1"/>
  <c r="C13" i="1"/>
  <c r="Q12" i="1"/>
  <c r="P12" i="1"/>
  <c r="O12" i="1"/>
  <c r="C12" i="1"/>
  <c r="Q11" i="1"/>
  <c r="P11" i="1"/>
  <c r="O11" i="1"/>
  <c r="C11" i="1"/>
  <c r="Q10" i="1"/>
  <c r="P10" i="1"/>
  <c r="O10" i="1"/>
  <c r="C10" i="1"/>
  <c r="Q9" i="1"/>
  <c r="P9" i="1"/>
  <c r="O9" i="1"/>
  <c r="C9" i="1"/>
  <c r="Q8" i="1"/>
  <c r="P8" i="1"/>
  <c r="O8" i="1"/>
  <c r="C8" i="1"/>
  <c r="Q7" i="1"/>
  <c r="P7" i="1"/>
  <c r="O7" i="1"/>
  <c r="C7" i="1"/>
  <c r="Q6" i="1"/>
  <c r="P6" i="1"/>
  <c r="O6" i="1"/>
  <c r="C6" i="1"/>
  <c r="Q5" i="1"/>
  <c r="P5" i="1"/>
  <c r="O5" i="1"/>
  <c r="C5" i="1"/>
</calcChain>
</file>

<file path=xl/sharedStrings.xml><?xml version="1.0" encoding="utf-8"?>
<sst xmlns="http://schemas.openxmlformats.org/spreadsheetml/2006/main" count="385" uniqueCount="238">
  <si>
    <t>Preliminary MioOcean GPTS</t>
  </si>
  <si>
    <t>Previous GPTSs ==&gt;</t>
  </si>
  <si>
    <t>Offsets ==&gt;</t>
  </si>
  <si>
    <t>Magnetochron (Base)</t>
  </si>
  <si>
    <t>Magnetochron (y / o) (used in W2020)</t>
  </si>
  <si>
    <t>Reversal</t>
  </si>
  <si>
    <t>CK1995</t>
  </si>
  <si>
    <t>GTS2004</t>
  </si>
  <si>
    <t>GTS2012</t>
  </si>
  <si>
    <t>GTS2016</t>
  </si>
  <si>
    <t>L2016</t>
  </si>
  <si>
    <t>B2018</t>
  </si>
  <si>
    <t>GTS2020</t>
  </si>
  <si>
    <t>GTS2020 source</t>
  </si>
  <si>
    <t>W2020</t>
  </si>
  <si>
    <t>W2020 source</t>
  </si>
  <si>
    <t>W2020 Expedition</t>
  </si>
  <si>
    <t>W2020-GTS2012</t>
  </si>
  <si>
    <t>W2020-GTS2020</t>
  </si>
  <si>
    <t>GTS2020-GTS2012</t>
  </si>
  <si>
    <t>W2020–L2016</t>
  </si>
  <si>
    <t>W2020–B2018</t>
  </si>
  <si>
    <t>C2An.3n (Gauss continued)</t>
  </si>
  <si>
    <t>C2An.3n (o)</t>
  </si>
  <si>
    <t>GPTS2012</t>
  </si>
  <si>
    <t>C2Ar (Gilbert)</t>
  </si>
  <si>
    <t>C3n.1n (y)</t>
  </si>
  <si>
    <t>C3n.1n (Cochiti)</t>
  </si>
  <si>
    <t>C3n.1n (o)</t>
  </si>
  <si>
    <t>C3n.1r</t>
  </si>
  <si>
    <t>C3n.2n (y)</t>
  </si>
  <si>
    <t>C3n.2n (Nunivak)</t>
  </si>
  <si>
    <t>C3n.2n (o)</t>
  </si>
  <si>
    <t>C3n.2r</t>
  </si>
  <si>
    <t>C3n.3n (y)</t>
  </si>
  <si>
    <t>C3n.3n (Sidufjall)</t>
  </si>
  <si>
    <t>C3n.3n (o)</t>
  </si>
  <si>
    <t>C3n.3r</t>
  </si>
  <si>
    <t>C3n.4n (y)</t>
  </si>
  <si>
    <t>C3n.4n (Thvera)</t>
  </si>
  <si>
    <t>C3n.4n (o)</t>
  </si>
  <si>
    <t>C3r (Gilbert lower part)</t>
  </si>
  <si>
    <t>C3An.1n (y)</t>
  </si>
  <si>
    <t>Drury et al. 2017</t>
  </si>
  <si>
    <t>Exp320/321</t>
  </si>
  <si>
    <t>C3An.1n</t>
  </si>
  <si>
    <t>C3An.1n (o)</t>
  </si>
  <si>
    <t>C3An.1r</t>
  </si>
  <si>
    <t>C3An.2n (y)</t>
  </si>
  <si>
    <t>C3An.2n</t>
  </si>
  <si>
    <t>C3An.2n (o)</t>
  </si>
  <si>
    <t>C3Ar</t>
  </si>
  <si>
    <t>C3Bn (y)</t>
  </si>
  <si>
    <t>C3Bn</t>
  </si>
  <si>
    <t>C3Bn (o)</t>
  </si>
  <si>
    <t>C3Br.1r</t>
  </si>
  <si>
    <t>C3Br.1n (y)</t>
  </si>
  <si>
    <t>C3Br.1n</t>
  </si>
  <si>
    <t>C3Br.1n (o)</t>
  </si>
  <si>
    <t>C3Br.2r</t>
  </si>
  <si>
    <t>C3Br.2n (y)</t>
  </si>
  <si>
    <t>C3Br.2n</t>
  </si>
  <si>
    <t>C3Br.2n (o)</t>
  </si>
  <si>
    <t>C3Br.3r</t>
  </si>
  <si>
    <t>C4n.1n (y)</t>
  </si>
  <si>
    <t>C4n.1n</t>
  </si>
  <si>
    <t>C4n.1n (o)</t>
  </si>
  <si>
    <t>C4n.1r</t>
  </si>
  <si>
    <t>C4n.2n (y)</t>
  </si>
  <si>
    <t>C4n.2n</t>
  </si>
  <si>
    <t>C4n.2n (o)</t>
  </si>
  <si>
    <t>C4r.1r</t>
  </si>
  <si>
    <t>C4r.1n (y)</t>
  </si>
  <si>
    <t>C4r.1n</t>
  </si>
  <si>
    <t>C4r.1n (o)</t>
  </si>
  <si>
    <t>no change from GTS2012/16</t>
  </si>
  <si>
    <t>Crypto/small subchron ?</t>
  </si>
  <si>
    <t>C4r.2r-1 (y)</t>
  </si>
  <si>
    <t>C4r.2r-1 (o)</t>
  </si>
  <si>
    <t>C4r.2r</t>
  </si>
  <si>
    <t>C4An (y)</t>
  </si>
  <si>
    <t>C4An</t>
  </si>
  <si>
    <t>C4An (o)</t>
  </si>
  <si>
    <t>C4Ar.1r</t>
  </si>
  <si>
    <t>C4Ar.1n (y)</t>
  </si>
  <si>
    <t>C4Ar.1n</t>
  </si>
  <si>
    <t>C4Ar.1n (o)</t>
  </si>
  <si>
    <t>C4Ar.2r</t>
  </si>
  <si>
    <t>C4Ar.2n (y)</t>
  </si>
  <si>
    <t>C4Ar.2n</t>
  </si>
  <si>
    <t>C4Ar.2n (o)</t>
  </si>
  <si>
    <t>C4Ar.3r</t>
  </si>
  <si>
    <t>C5n.1n (y)</t>
  </si>
  <si>
    <t>C5n.1n</t>
  </si>
  <si>
    <t>C5n.1n (o)</t>
  </si>
  <si>
    <t>C5n.1r</t>
  </si>
  <si>
    <t>C5n.2n (y)</t>
  </si>
  <si>
    <t>C5n.2n</t>
  </si>
  <si>
    <t>C5n.2n (o)</t>
  </si>
  <si>
    <t>C5r.1r</t>
  </si>
  <si>
    <t>C5r.1n (y)</t>
  </si>
  <si>
    <t>C5r.1n</t>
  </si>
  <si>
    <t>C5r.1n (o)</t>
  </si>
  <si>
    <t>C5r.2r-1n (y)</t>
  </si>
  <si>
    <t>C5r.2r-1n (o)</t>
  </si>
  <si>
    <t>C5r.2r</t>
  </si>
  <si>
    <t>C5r.2n (y)</t>
  </si>
  <si>
    <t>C5r.2n</t>
  </si>
  <si>
    <t>C5r.2n (o)</t>
  </si>
  <si>
    <t>C5r.3r</t>
  </si>
  <si>
    <t>C5An.1n (y)</t>
  </si>
  <si>
    <t>C5An.1n</t>
  </si>
  <si>
    <t>C5An.1n (o)</t>
  </si>
  <si>
    <t>C5An.1r</t>
  </si>
  <si>
    <t>C5An.2n (y)</t>
  </si>
  <si>
    <t>C5An.2n</t>
  </si>
  <si>
    <t>C5An.2n (o)</t>
  </si>
  <si>
    <t>C5Ar.1r</t>
  </si>
  <si>
    <t>C5Ar.1n (y)</t>
  </si>
  <si>
    <t>C5Ar.1n</t>
  </si>
  <si>
    <t>C5Ar.1n (o)</t>
  </si>
  <si>
    <t>C5Ar.2r</t>
  </si>
  <si>
    <t>C5Ar.2n (y)</t>
  </si>
  <si>
    <t>C5Ar.2n</t>
  </si>
  <si>
    <t>C5Ar.2n (o)</t>
  </si>
  <si>
    <t>C5Ar.3r</t>
  </si>
  <si>
    <t>C5AAn (y)</t>
  </si>
  <si>
    <t>C5AAn</t>
  </si>
  <si>
    <t>C5AAn (o)</t>
  </si>
  <si>
    <t>C5AAr</t>
  </si>
  <si>
    <t>C5ABn (y)</t>
  </si>
  <si>
    <t>C5ABn</t>
  </si>
  <si>
    <t>C5ABn (o)</t>
  </si>
  <si>
    <t>C5ABr</t>
  </si>
  <si>
    <t>C5ACn (y)</t>
  </si>
  <si>
    <t>C5ACn</t>
  </si>
  <si>
    <t>C5ACn (o)</t>
  </si>
  <si>
    <t>C5ACr</t>
  </si>
  <si>
    <t>C5ADn (y)</t>
  </si>
  <si>
    <t>C5ADn</t>
  </si>
  <si>
    <t>C5ADn (o)</t>
  </si>
  <si>
    <t>C5ADr</t>
  </si>
  <si>
    <t>C5Bn.1n (y)</t>
  </si>
  <si>
    <t>C5Bn.1n</t>
  </si>
  <si>
    <t>C5Bn.1n (o)</t>
  </si>
  <si>
    <t>C5Bn.1r</t>
  </si>
  <si>
    <t>C5Bn.2n (y)</t>
  </si>
  <si>
    <t>Kochhann et al. 2016</t>
  </si>
  <si>
    <t>C5Bn.2n</t>
  </si>
  <si>
    <t>C5Bn.2n (o)</t>
  </si>
  <si>
    <t>C5Br</t>
  </si>
  <si>
    <t>C5Cn.1n (y)</t>
  </si>
  <si>
    <t>C5Cn.1n</t>
  </si>
  <si>
    <t>C5Cn.1n (o)</t>
  </si>
  <si>
    <t>C5Cn.1r</t>
  </si>
  <si>
    <t>C5Cn.2n (y)</t>
  </si>
  <si>
    <t>C5Cn.2n</t>
  </si>
  <si>
    <t>C5Cn.2n (o)</t>
  </si>
  <si>
    <t>C5Cn.2r</t>
  </si>
  <si>
    <t>C5Cn.3n (y)</t>
  </si>
  <si>
    <t>C5Cn.3n</t>
  </si>
  <si>
    <t>C5Cn.3n (o)</t>
  </si>
  <si>
    <t>C5Cr</t>
  </si>
  <si>
    <t>C5Dn (y)</t>
  </si>
  <si>
    <t>GPTS2012 = GPTS2004 = interpolated ages from seafloor-spreading-rates (Australia–Antarctic plate pair)</t>
  </si>
  <si>
    <t>C5Dn</t>
  </si>
  <si>
    <t>C5Dn (o)</t>
  </si>
  <si>
    <t>C5Dr.1r</t>
  </si>
  <si>
    <t>C5Dr.1n (y)</t>
  </si>
  <si>
    <t>C5Dr.1n</t>
  </si>
  <si>
    <t>C5Dr.1n (o)</t>
  </si>
  <si>
    <t>C5Dr.2r</t>
  </si>
  <si>
    <t>C5En (y)</t>
  </si>
  <si>
    <t>interpolated from GTS2012</t>
  </si>
  <si>
    <t>C5En</t>
  </si>
  <si>
    <t>C5En (o)</t>
  </si>
  <si>
    <t>Liebrand et al. 2016</t>
  </si>
  <si>
    <t>C5Er</t>
  </si>
  <si>
    <t>C6n (y)</t>
  </si>
  <si>
    <t>C6n</t>
  </si>
  <si>
    <t>C6n (o)</t>
  </si>
  <si>
    <t>Westerhold et al., 2020 (this study)</t>
  </si>
  <si>
    <t>Leg199, Exp320/321</t>
  </si>
  <si>
    <t>C6r</t>
  </si>
  <si>
    <t>C6An.1n (y)</t>
  </si>
  <si>
    <t>C6An.1n</t>
  </si>
  <si>
    <t>C6An.1n (o)</t>
  </si>
  <si>
    <t>C6An.1r</t>
  </si>
  <si>
    <t>C6An.2n (y)</t>
  </si>
  <si>
    <t>C6An.2n</t>
  </si>
  <si>
    <t>C6An.2n (o)</t>
  </si>
  <si>
    <t>C6Ar</t>
  </si>
  <si>
    <t>C6AAn (y)</t>
  </si>
  <si>
    <t>C6AAn</t>
  </si>
  <si>
    <t>C6AAn (o)</t>
  </si>
  <si>
    <t>C6AAr.1r</t>
  </si>
  <si>
    <t>C6AAr.1n (y)</t>
  </si>
  <si>
    <t>C6AAr.1n</t>
  </si>
  <si>
    <t>C6AAr.1n (o)</t>
  </si>
  <si>
    <t>C6AAr.2r</t>
  </si>
  <si>
    <t>C6AAr.2n (y)</t>
  </si>
  <si>
    <t>C6AAr.2n</t>
  </si>
  <si>
    <t>C6AAr.2n (o)</t>
  </si>
  <si>
    <t>C6AAr.3r</t>
  </si>
  <si>
    <t>C6Bn.1n (y)</t>
  </si>
  <si>
    <t>C6Bn.1n</t>
  </si>
  <si>
    <t>C6Bn.1n (o)</t>
  </si>
  <si>
    <t>Beddow et al. 2018</t>
  </si>
  <si>
    <t>C6Bn.1r</t>
  </si>
  <si>
    <t>C6Bn.2n (y)</t>
  </si>
  <si>
    <t>C6Bn.2n</t>
  </si>
  <si>
    <t>C6Bn.2n (o)</t>
  </si>
  <si>
    <t>C6Br</t>
  </si>
  <si>
    <t>C6Cn.1n (y)</t>
  </si>
  <si>
    <t>C6Cn.1n</t>
  </si>
  <si>
    <t>C6Cn.1n (o)</t>
  </si>
  <si>
    <t>C6Cn.1r</t>
  </si>
  <si>
    <t>C6Cn.2n (y)</t>
  </si>
  <si>
    <t>C6Cn.2n</t>
  </si>
  <si>
    <t>C6Cn.2n (o)</t>
  </si>
  <si>
    <t>C6Cn.2r</t>
  </si>
  <si>
    <t>C6Cn.3n (y)</t>
  </si>
  <si>
    <t>C6Cn.3n</t>
  </si>
  <si>
    <t>C6Cn.3n (o)</t>
  </si>
  <si>
    <t>C6Cr</t>
  </si>
  <si>
    <t>C7n.1n (y)</t>
  </si>
  <si>
    <t>C7n.1n</t>
  </si>
  <si>
    <t>C7n.1n (o)</t>
  </si>
  <si>
    <t>C7n.1r</t>
  </si>
  <si>
    <t>C7n.2n (y)</t>
  </si>
  <si>
    <t>C7n.2n</t>
  </si>
  <si>
    <t>C7n.2n (o)</t>
  </si>
  <si>
    <t>C7r</t>
  </si>
  <si>
    <t>C7An (y)</t>
  </si>
  <si>
    <t>C7An</t>
  </si>
  <si>
    <t>C7An (o)</t>
  </si>
  <si>
    <t>C7Ar</t>
  </si>
  <si>
    <t>C8n.1n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</si>
</sst>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2"/>
      <name val="Calibri"/>
      <family val="2"/>
      <scheme val="minor"/>
    </font>
    <font>
      <sz val="10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0" fillId="0" borderId="0" xfId="0" applyNumberFormat="1"/>
    <xf numFmtId="164" fontId="5" fillId="2" borderId="0" xfId="0" applyNumberFormat="1" applyFont="1" applyFill="1" applyAlignment="1">
      <alignment vertical="center" wrapText="1"/>
    </xf>
    <xf numFmtId="164" fontId="5" fillId="3" borderId="0" xfId="0" applyNumberFormat="1" applyFont="1" applyFill="1" applyAlignment="1">
      <alignment vertical="center" wrapText="1"/>
    </xf>
    <xf numFmtId="164" fontId="5" fillId="4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2" fillId="5" borderId="0" xfId="0" applyNumberFormat="1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6" fillId="2" borderId="0" xfId="0" applyNumberFormat="1" applyFon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5" borderId="0" xfId="0" applyFill="1"/>
    <xf numFmtId="1" fontId="0" fillId="0" borderId="0" xfId="0" applyNumberFormat="1"/>
    <xf numFmtId="164" fontId="0" fillId="2" borderId="0" xfId="0" applyNumberFormat="1" applyFill="1"/>
    <xf numFmtId="164" fontId="6" fillId="4" borderId="0" xfId="0" applyNumberFormat="1" applyFont="1" applyFill="1"/>
    <xf numFmtId="164" fontId="6" fillId="0" borderId="0" xfId="0" applyNumberFormat="1" applyFont="1"/>
    <xf numFmtId="0" fontId="6" fillId="0" borderId="0" xfId="0" applyFont="1"/>
    <xf numFmtId="164" fontId="1" fillId="2" borderId="0" xfId="0" applyNumberFormat="1" applyFont="1" applyFill="1"/>
    <xf numFmtId="164" fontId="1" fillId="3" borderId="0" xfId="0" applyNumberFormat="1" applyFont="1" applyFill="1"/>
    <xf numFmtId="164" fontId="8" fillId="4" borderId="0" xfId="0" applyNumberFormat="1" applyFont="1" applyFill="1"/>
    <xf numFmtId="164" fontId="1" fillId="0" borderId="0" xfId="0" applyNumberFormat="1" applyFont="1"/>
    <xf numFmtId="164" fontId="1" fillId="5" borderId="0" xfId="0" applyNumberFormat="1" applyFont="1" applyFill="1"/>
    <xf numFmtId="0" fontId="1" fillId="5" borderId="0" xfId="0" applyFont="1" applyFill="1"/>
    <xf numFmtId="1" fontId="1" fillId="0" borderId="0" xfId="0" applyNumberFormat="1" applyFont="1"/>
    <xf numFmtId="0" fontId="1" fillId="0" borderId="0" xfId="0" applyFont="1"/>
    <xf numFmtId="164" fontId="7" fillId="0" borderId="0" xfId="0" applyNumberFormat="1" applyFont="1"/>
    <xf numFmtId="164" fontId="2" fillId="2" borderId="0" xfId="0" applyNumberFormat="1" applyFont="1" applyFill="1"/>
    <xf numFmtId="164" fontId="2" fillId="3" borderId="0" xfId="0" applyNumberFormat="1" applyFont="1" applyFill="1"/>
    <xf numFmtId="164" fontId="5" fillId="4" borderId="0" xfId="0" applyNumberFormat="1" applyFont="1" applyFill="1"/>
    <xf numFmtId="164" fontId="2" fillId="0" borderId="0" xfId="0" applyNumberFormat="1" applyFont="1"/>
    <xf numFmtId="164" fontId="2" fillId="5" borderId="0" xfId="0" applyNumberFormat="1" applyFont="1" applyFill="1"/>
    <xf numFmtId="164" fontId="5" fillId="0" borderId="0" xfId="0" applyNumberFormat="1" applyFont="1"/>
    <xf numFmtId="0" fontId="2" fillId="5" borderId="0" xfId="0" applyFont="1" applyFill="1"/>
    <xf numFmtId="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3210-D010-2947-8510-2E571B8328D7}">
  <dimension ref="A1:S108"/>
  <sheetViews>
    <sheetView tabSelected="1" topLeftCell="A2" zoomScale="95" zoomScaleNormal="95" workbookViewId="0">
      <pane xSplit="2" ySplit="3" topLeftCell="C6" activePane="bottomRight" state="frozenSplit"/>
      <selection activeCell="A2" sqref="A2"/>
      <selection pane="topRight" activeCell="B2" sqref="B2"/>
      <selection pane="bottomLeft" activeCell="A3" sqref="A3"/>
      <selection pane="bottomRight" activeCell="C3" sqref="C3"/>
    </sheetView>
  </sheetViews>
  <sheetFormatPr baseColWidth="10" defaultRowHeight="16" x14ac:dyDescent="0.2"/>
  <cols>
    <col min="1" max="1" width="21.83203125" customWidth="1"/>
    <col min="2" max="2" width="20.1640625" customWidth="1"/>
    <col min="3" max="3" width="36.5" bestFit="1" customWidth="1"/>
    <col min="4" max="10" width="10.83203125" customWidth="1"/>
    <col min="11" max="11" width="29.33203125" customWidth="1"/>
    <col min="12" max="12" width="10.83203125" customWidth="1"/>
    <col min="13" max="13" width="14.6640625" customWidth="1"/>
    <col min="14" max="14" width="17.83203125" customWidth="1"/>
    <col min="15" max="16" width="17" customWidth="1"/>
    <col min="17" max="17" width="18.83203125" customWidth="1"/>
    <col min="18" max="18" width="13" customWidth="1"/>
    <col min="19" max="19" width="13.1640625" customWidth="1"/>
  </cols>
  <sheetData>
    <row r="1" spans="1:19" x14ac:dyDescent="0.2">
      <c r="A1" s="1" t="s">
        <v>0</v>
      </c>
    </row>
    <row r="2" spans="1:19" x14ac:dyDescent="0.2">
      <c r="A2" s="1"/>
    </row>
    <row r="3" spans="1:19" x14ac:dyDescent="0.2">
      <c r="C3" s="2"/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2</v>
      </c>
      <c r="P3" s="4"/>
      <c r="Q3" s="4"/>
    </row>
    <row r="4" spans="1:19" s="14" customFormat="1" ht="31" customHeight="1" x14ac:dyDescent="0.2">
      <c r="A4" s="5" t="s">
        <v>3</v>
      </c>
      <c r="B4" s="6" t="s">
        <v>4</v>
      </c>
      <c r="C4" s="7" t="s">
        <v>5</v>
      </c>
      <c r="D4" s="8" t="s">
        <v>6</v>
      </c>
      <c r="E4" s="9" t="s">
        <v>7</v>
      </c>
      <c r="F4" s="8" t="s">
        <v>8</v>
      </c>
      <c r="G4" s="9" t="s">
        <v>9</v>
      </c>
      <c r="H4" s="8" t="s">
        <v>10</v>
      </c>
      <c r="I4" s="9" t="s">
        <v>11</v>
      </c>
      <c r="J4" s="8" t="s">
        <v>12</v>
      </c>
      <c r="K4" s="10" t="s">
        <v>13</v>
      </c>
      <c r="L4" s="9" t="s">
        <v>14</v>
      </c>
      <c r="M4" s="11" t="s">
        <v>15</v>
      </c>
      <c r="N4" s="11" t="s">
        <v>16</v>
      </c>
      <c r="O4" s="12" t="s">
        <v>17</v>
      </c>
      <c r="P4" s="12" t="s">
        <v>18</v>
      </c>
      <c r="Q4" s="12" t="s">
        <v>19</v>
      </c>
      <c r="R4" s="13" t="s">
        <v>20</v>
      </c>
      <c r="S4" s="13" t="s">
        <v>21</v>
      </c>
    </row>
    <row r="5" spans="1:19" x14ac:dyDescent="0.2">
      <c r="A5" s="15" t="s">
        <v>22</v>
      </c>
      <c r="B5" s="16" t="s">
        <v>23</v>
      </c>
      <c r="C5" s="17" t="str">
        <f t="shared" ref="C5:C68" si="0">A5&amp;"/"&amp;A6</f>
        <v>C2An.3n (Gauss continued)/C2Ar (Gilbert)</v>
      </c>
      <c r="D5" s="4">
        <v>3.58</v>
      </c>
      <c r="E5" s="18">
        <v>3.5960000000000001</v>
      </c>
      <c r="F5" s="4">
        <v>3.5960000000000001</v>
      </c>
      <c r="G5" s="18">
        <v>3.5960000000000001</v>
      </c>
      <c r="H5" s="4"/>
      <c r="I5" s="18"/>
      <c r="J5" s="4">
        <v>3.5960000000000001</v>
      </c>
      <c r="L5" s="18">
        <v>3.5960000000000001</v>
      </c>
      <c r="M5" s="19" t="s">
        <v>24</v>
      </c>
      <c r="N5" s="19"/>
      <c r="O5" s="20">
        <f>(L5-F5)*1000</f>
        <v>0</v>
      </c>
      <c r="P5" s="20">
        <f>(L5-J5)*1000</f>
        <v>0</v>
      </c>
      <c r="Q5" s="20">
        <f>(J5-F5)*1000</f>
        <v>0</v>
      </c>
      <c r="R5" s="20"/>
      <c r="S5" s="20"/>
    </row>
    <row r="6" spans="1:19" x14ac:dyDescent="0.2">
      <c r="A6" s="15" t="s">
        <v>25</v>
      </c>
      <c r="B6" s="16" t="s">
        <v>26</v>
      </c>
      <c r="C6" s="17" t="str">
        <f t="shared" si="0"/>
        <v>C2Ar (Gilbert)/C3n.1n (Cochiti)</v>
      </c>
      <c r="D6" s="4">
        <v>4.18</v>
      </c>
      <c r="E6" s="18">
        <v>4.1870000000000003</v>
      </c>
      <c r="F6" s="4">
        <v>4.1870000000000003</v>
      </c>
      <c r="G6" s="18">
        <v>4.1870000000000003</v>
      </c>
      <c r="H6" s="4"/>
      <c r="I6" s="18"/>
      <c r="J6" s="4">
        <v>4.1870000000000003</v>
      </c>
      <c r="L6" s="18">
        <v>4.1870000000000003</v>
      </c>
      <c r="M6" s="19" t="s">
        <v>24</v>
      </c>
      <c r="N6" s="19"/>
      <c r="O6" s="20">
        <f t="shared" ref="O6:O73" si="1">(L6-F6)*1000</f>
        <v>0</v>
      </c>
      <c r="P6" s="20">
        <f t="shared" ref="P6:P73" si="2">(L6-J6)*1000</f>
        <v>0</v>
      </c>
      <c r="Q6" s="20">
        <f t="shared" ref="Q6:Q73" si="3">(J6-F6)*1000</f>
        <v>0</v>
      </c>
      <c r="R6" s="20"/>
      <c r="S6" s="20"/>
    </row>
    <row r="7" spans="1:19" x14ac:dyDescent="0.2">
      <c r="A7" s="15" t="s">
        <v>27</v>
      </c>
      <c r="B7" s="16" t="s">
        <v>28</v>
      </c>
      <c r="C7" s="17" t="str">
        <f t="shared" si="0"/>
        <v>C3n.1n (Cochiti)/C3n.1r</v>
      </c>
      <c r="D7" s="4">
        <v>4.29</v>
      </c>
      <c r="E7" s="18">
        <v>4.3</v>
      </c>
      <c r="F7" s="4">
        <v>4.3</v>
      </c>
      <c r="G7" s="18">
        <v>4.3</v>
      </c>
      <c r="H7" s="4"/>
      <c r="I7" s="18"/>
      <c r="J7" s="4">
        <v>4.3</v>
      </c>
      <c r="L7" s="18">
        <v>4.3</v>
      </c>
      <c r="M7" s="19" t="s">
        <v>24</v>
      </c>
      <c r="N7" s="19"/>
      <c r="O7" s="20">
        <f t="shared" si="1"/>
        <v>0</v>
      </c>
      <c r="P7" s="20">
        <f t="shared" si="2"/>
        <v>0</v>
      </c>
      <c r="Q7" s="20">
        <f t="shared" si="3"/>
        <v>0</v>
      </c>
      <c r="R7" s="20"/>
      <c r="S7" s="20"/>
    </row>
    <row r="8" spans="1:19" x14ac:dyDescent="0.2">
      <c r="A8" s="21" t="s">
        <v>29</v>
      </c>
      <c r="B8" s="16" t="s">
        <v>30</v>
      </c>
      <c r="C8" s="17" t="str">
        <f t="shared" si="0"/>
        <v>C3n.1r/C3n.2n (Nunivak)</v>
      </c>
      <c r="D8" s="4">
        <v>4.4800000000000004</v>
      </c>
      <c r="E8" s="18">
        <v>4.4930000000000003</v>
      </c>
      <c r="F8" s="4">
        <v>4.4930000000000003</v>
      </c>
      <c r="G8" s="18">
        <v>4.4930000000000003</v>
      </c>
      <c r="H8" s="4"/>
      <c r="I8" s="18"/>
      <c r="J8" s="4">
        <v>4.4930000000000003</v>
      </c>
      <c r="K8" s="4"/>
      <c r="L8" s="18">
        <v>4.4930000000000003</v>
      </c>
      <c r="M8" s="19" t="s">
        <v>24</v>
      </c>
      <c r="N8" s="19"/>
      <c r="O8" s="20">
        <f t="shared" si="1"/>
        <v>0</v>
      </c>
      <c r="P8" s="20">
        <f t="shared" si="2"/>
        <v>0</v>
      </c>
      <c r="Q8" s="20">
        <f t="shared" si="3"/>
        <v>0</v>
      </c>
      <c r="R8" s="20"/>
      <c r="S8" s="20"/>
    </row>
    <row r="9" spans="1:19" x14ac:dyDescent="0.2">
      <c r="A9" s="15" t="s">
        <v>31</v>
      </c>
      <c r="B9" s="16" t="s">
        <v>32</v>
      </c>
      <c r="C9" s="22" t="str">
        <f t="shared" si="0"/>
        <v>C3n.2n (Nunivak)/C3n.2r</v>
      </c>
      <c r="D9" s="4">
        <v>4.62</v>
      </c>
      <c r="E9" s="18">
        <v>4.6310000000000002</v>
      </c>
      <c r="F9" s="4">
        <v>4.6310000000000002</v>
      </c>
      <c r="G9" s="18">
        <v>4.6310000000000002</v>
      </c>
      <c r="H9" s="4"/>
      <c r="I9" s="18"/>
      <c r="J9" s="4">
        <v>4.6310000000000002</v>
      </c>
      <c r="L9" s="18">
        <v>4.6310000000000002</v>
      </c>
      <c r="M9" s="19" t="s">
        <v>24</v>
      </c>
      <c r="N9" s="19"/>
      <c r="O9" s="20">
        <f t="shared" si="1"/>
        <v>0</v>
      </c>
      <c r="P9" s="20">
        <f t="shared" si="2"/>
        <v>0</v>
      </c>
      <c r="Q9" s="20">
        <f t="shared" si="3"/>
        <v>0</v>
      </c>
      <c r="R9" s="20"/>
      <c r="S9" s="20"/>
    </row>
    <row r="10" spans="1:19" x14ac:dyDescent="0.2">
      <c r="A10" s="21" t="s">
        <v>33</v>
      </c>
      <c r="B10" s="16" t="s">
        <v>34</v>
      </c>
      <c r="C10" s="22" t="str">
        <f t="shared" si="0"/>
        <v>C3n.2r/C3n.3n (Sidufjall)</v>
      </c>
      <c r="D10" s="4">
        <v>4.8</v>
      </c>
      <c r="E10" s="18">
        <v>4.7990000000000004</v>
      </c>
      <c r="F10" s="4">
        <v>4.7990000000000004</v>
      </c>
      <c r="G10" s="18">
        <v>4.7990000000000004</v>
      </c>
      <c r="H10" s="4"/>
      <c r="I10" s="18"/>
      <c r="J10" s="4">
        <v>4.7990000000000004</v>
      </c>
      <c r="K10" s="4"/>
      <c r="L10" s="18">
        <v>4.7990000000000004</v>
      </c>
      <c r="M10" s="19" t="s">
        <v>24</v>
      </c>
      <c r="N10" s="19"/>
      <c r="O10" s="20">
        <f t="shared" si="1"/>
        <v>0</v>
      </c>
      <c r="P10" s="20">
        <f t="shared" si="2"/>
        <v>0</v>
      </c>
      <c r="Q10" s="20">
        <f t="shared" si="3"/>
        <v>0</v>
      </c>
      <c r="R10" s="20"/>
      <c r="S10" s="20"/>
    </row>
    <row r="11" spans="1:19" x14ac:dyDescent="0.2">
      <c r="A11" s="15" t="s">
        <v>35</v>
      </c>
      <c r="B11" s="16" t="s">
        <v>36</v>
      </c>
      <c r="C11" s="22" t="str">
        <f t="shared" si="0"/>
        <v>C3n.3n (Sidufjall)/C3n.3r</v>
      </c>
      <c r="D11" s="4">
        <v>4.8899999999999997</v>
      </c>
      <c r="E11" s="18">
        <v>4.8959999999999999</v>
      </c>
      <c r="F11" s="4">
        <v>4.8959999999999999</v>
      </c>
      <c r="G11" s="18">
        <v>4.8959999999999999</v>
      </c>
      <c r="H11" s="4"/>
      <c r="I11" s="18"/>
      <c r="J11" s="4">
        <v>4.8959999999999999</v>
      </c>
      <c r="L11" s="18">
        <v>4.8959999999999999</v>
      </c>
      <c r="M11" s="19" t="s">
        <v>24</v>
      </c>
      <c r="N11" s="19"/>
      <c r="O11" s="20">
        <f t="shared" si="1"/>
        <v>0</v>
      </c>
      <c r="P11" s="20">
        <f t="shared" si="2"/>
        <v>0</v>
      </c>
      <c r="Q11" s="20">
        <f t="shared" si="3"/>
        <v>0</v>
      </c>
      <c r="R11" s="20"/>
      <c r="S11" s="20"/>
    </row>
    <row r="12" spans="1:19" x14ac:dyDescent="0.2">
      <c r="A12" s="21" t="s">
        <v>37</v>
      </c>
      <c r="B12" s="16" t="s">
        <v>38</v>
      </c>
      <c r="C12" s="22" t="str">
        <f t="shared" si="0"/>
        <v>C3n.3r/C3n.4n (Thvera)</v>
      </c>
      <c r="D12" s="4">
        <v>4.9800000000000004</v>
      </c>
      <c r="E12" s="18">
        <v>4.9969999999999999</v>
      </c>
      <c r="F12" s="4">
        <v>4.9969999999999999</v>
      </c>
      <c r="G12" s="18">
        <v>4.9969999999999999</v>
      </c>
      <c r="H12" s="4"/>
      <c r="I12" s="18"/>
      <c r="J12" s="4">
        <v>4.9969999999999999</v>
      </c>
      <c r="K12" s="4"/>
      <c r="L12" s="18">
        <v>4.9969999999999999</v>
      </c>
      <c r="M12" s="19" t="s">
        <v>24</v>
      </c>
      <c r="N12" s="19"/>
      <c r="O12" s="20">
        <f t="shared" si="1"/>
        <v>0</v>
      </c>
      <c r="P12" s="20">
        <f t="shared" si="2"/>
        <v>0</v>
      </c>
      <c r="Q12" s="20">
        <f t="shared" si="3"/>
        <v>0</v>
      </c>
      <c r="R12" s="20"/>
      <c r="S12" s="20"/>
    </row>
    <row r="13" spans="1:19" x14ac:dyDescent="0.2">
      <c r="A13" s="15" t="s">
        <v>39</v>
      </c>
      <c r="B13" s="16" t="s">
        <v>40</v>
      </c>
      <c r="C13" s="22" t="str">
        <f t="shared" si="0"/>
        <v>C3n.4n (Thvera)/C3r (Gilbert lower part)</v>
      </c>
      <c r="D13" s="4">
        <v>5.23</v>
      </c>
      <c r="E13" s="18">
        <v>5.2350000000000003</v>
      </c>
      <c r="F13" s="4">
        <v>5.2350000000000003</v>
      </c>
      <c r="G13" s="18">
        <v>5.2350000000000003</v>
      </c>
      <c r="H13" s="4"/>
      <c r="I13" s="18"/>
      <c r="J13" s="4">
        <v>5.2350000000000003</v>
      </c>
      <c r="L13" s="18">
        <v>5.2350000000000003</v>
      </c>
      <c r="M13" s="19" t="s">
        <v>24</v>
      </c>
      <c r="N13" s="19"/>
      <c r="O13" s="20">
        <f t="shared" si="1"/>
        <v>0</v>
      </c>
      <c r="P13" s="20">
        <f t="shared" si="2"/>
        <v>0</v>
      </c>
      <c r="Q13" s="20">
        <f t="shared" si="3"/>
        <v>0</v>
      </c>
      <c r="R13" s="20"/>
      <c r="S13" s="20"/>
    </row>
    <row r="14" spans="1:19" x14ac:dyDescent="0.2">
      <c r="A14" s="15" t="s">
        <v>41</v>
      </c>
      <c r="B14" s="16" t="s">
        <v>42</v>
      </c>
      <c r="C14" s="22" t="str">
        <f t="shared" si="0"/>
        <v>C3r (Gilbert lower part)/C3An.1n</v>
      </c>
      <c r="D14" s="4">
        <v>5.875</v>
      </c>
      <c r="E14" s="18">
        <v>6.0330000000000004</v>
      </c>
      <c r="F14" s="4">
        <v>6.0330000000000004</v>
      </c>
      <c r="G14" s="18">
        <v>6.0330000000000004</v>
      </c>
      <c r="H14" s="4"/>
      <c r="I14" s="18"/>
      <c r="J14" s="4">
        <v>6.0229999999999997</v>
      </c>
      <c r="K14" s="24" t="s">
        <v>43</v>
      </c>
      <c r="L14" s="18">
        <v>6.0232153000000004</v>
      </c>
      <c r="M14" s="19" t="s">
        <v>43</v>
      </c>
      <c r="N14" s="19" t="s">
        <v>44</v>
      </c>
      <c r="O14" s="20">
        <f t="shared" si="1"/>
        <v>-9.7846999999999795</v>
      </c>
      <c r="P14" s="20">
        <f t="shared" si="2"/>
        <v>0.21530000000069549</v>
      </c>
      <c r="Q14" s="20">
        <f t="shared" si="3"/>
        <v>-10.000000000000675</v>
      </c>
      <c r="R14" s="20"/>
      <c r="S14" s="20"/>
    </row>
    <row r="15" spans="1:19" x14ac:dyDescent="0.2">
      <c r="A15" s="21" t="s">
        <v>45</v>
      </c>
      <c r="B15" s="16" t="s">
        <v>46</v>
      </c>
      <c r="C15" s="22" t="str">
        <f t="shared" si="0"/>
        <v>C3An.1n/C3An.1r</v>
      </c>
      <c r="D15" s="4">
        <v>6.1219999999999999</v>
      </c>
      <c r="E15" s="18">
        <v>6.2519999999999998</v>
      </c>
      <c r="F15" s="4">
        <v>6.2519999999999998</v>
      </c>
      <c r="G15" s="18">
        <v>6.2519999999999998</v>
      </c>
      <c r="H15" s="4"/>
      <c r="I15" s="18"/>
      <c r="J15" s="4">
        <v>6.2720000000000002</v>
      </c>
      <c r="K15" s="4"/>
      <c r="L15" s="18">
        <v>6.2715712000000003</v>
      </c>
      <c r="M15" s="19" t="s">
        <v>43</v>
      </c>
      <c r="N15" s="19" t="s">
        <v>44</v>
      </c>
      <c r="O15" s="20">
        <f t="shared" si="1"/>
        <v>19.571200000000566</v>
      </c>
      <c r="P15" s="20">
        <f t="shared" si="2"/>
        <v>-0.42879999999989593</v>
      </c>
      <c r="Q15" s="20">
        <f t="shared" si="3"/>
        <v>20.000000000000462</v>
      </c>
      <c r="R15" s="20"/>
      <c r="S15" s="20"/>
    </row>
    <row r="16" spans="1:19" x14ac:dyDescent="0.2">
      <c r="A16" s="21" t="s">
        <v>47</v>
      </c>
      <c r="B16" s="16" t="s">
        <v>48</v>
      </c>
      <c r="C16" s="22" t="str">
        <f t="shared" si="0"/>
        <v>C3An.1r/C3An.2n</v>
      </c>
      <c r="D16" s="4">
        <v>6.2560000000000002</v>
      </c>
      <c r="E16" s="18">
        <v>6.4359999999999999</v>
      </c>
      <c r="F16" s="4">
        <v>6.4359999999999999</v>
      </c>
      <c r="G16" s="18">
        <v>6.4359999999999999</v>
      </c>
      <c r="H16" s="4"/>
      <c r="I16" s="18"/>
      <c r="J16" s="4">
        <v>6.3860000000000001</v>
      </c>
      <c r="K16" s="4"/>
      <c r="L16" s="18">
        <v>6.3862686000000002</v>
      </c>
      <c r="M16" s="19" t="s">
        <v>43</v>
      </c>
      <c r="N16" s="19" t="s">
        <v>44</v>
      </c>
      <c r="O16" s="20">
        <f t="shared" si="1"/>
        <v>-49.731399999999759</v>
      </c>
      <c r="P16" s="20">
        <f t="shared" si="2"/>
        <v>0.26860000000006323</v>
      </c>
      <c r="Q16" s="20">
        <f t="shared" si="3"/>
        <v>-49.999999999999822</v>
      </c>
      <c r="R16" s="20"/>
      <c r="S16" s="20"/>
    </row>
    <row r="17" spans="1:19" x14ac:dyDescent="0.2">
      <c r="A17" s="21" t="s">
        <v>49</v>
      </c>
      <c r="B17" s="16" t="s">
        <v>50</v>
      </c>
      <c r="C17" s="22" t="str">
        <f t="shared" si="0"/>
        <v>C3An.2n/C3Ar</v>
      </c>
      <c r="D17" s="4">
        <v>6.5549999999999997</v>
      </c>
      <c r="E17" s="18">
        <v>6.7329999999999997</v>
      </c>
      <c r="F17" s="4">
        <v>6.7329999999999997</v>
      </c>
      <c r="G17" s="18">
        <v>6.7329999999999997</v>
      </c>
      <c r="H17" s="4"/>
      <c r="I17" s="18"/>
      <c r="J17" s="4">
        <v>6.7270000000000003</v>
      </c>
      <c r="K17" s="4"/>
      <c r="L17" s="18">
        <v>6.7269706999999999</v>
      </c>
      <c r="M17" s="19" t="s">
        <v>43</v>
      </c>
      <c r="N17" s="19" t="s">
        <v>44</v>
      </c>
      <c r="O17" s="20">
        <f t="shared" si="1"/>
        <v>-6.0292999999997932</v>
      </c>
      <c r="P17" s="20">
        <f t="shared" si="2"/>
        <v>-2.9300000000453963E-2</v>
      </c>
      <c r="Q17" s="20">
        <f t="shared" si="3"/>
        <v>-5.9999999999993392</v>
      </c>
      <c r="R17" s="20"/>
      <c r="S17" s="20"/>
    </row>
    <row r="18" spans="1:19" x14ac:dyDescent="0.2">
      <c r="A18" s="21" t="s">
        <v>51</v>
      </c>
      <c r="B18" s="16" t="s">
        <v>52</v>
      </c>
      <c r="C18" s="22" t="str">
        <f t="shared" si="0"/>
        <v>C3Ar/C3Bn</v>
      </c>
      <c r="D18" s="4">
        <v>6.9189999999999996</v>
      </c>
      <c r="E18" s="18">
        <v>7.14</v>
      </c>
      <c r="F18" s="4">
        <v>7.14</v>
      </c>
      <c r="G18" s="18">
        <v>7.14</v>
      </c>
      <c r="H18" s="4"/>
      <c r="I18" s="18"/>
      <c r="J18" s="4">
        <v>7.1040000000000001</v>
      </c>
      <c r="K18" s="4"/>
      <c r="L18" s="18">
        <v>7.1039915000000002</v>
      </c>
      <c r="M18" s="19" t="s">
        <v>43</v>
      </c>
      <c r="N18" s="19" t="s">
        <v>44</v>
      </c>
      <c r="O18" s="20">
        <f t="shared" si="1"/>
        <v>-36.008499999999444</v>
      </c>
      <c r="P18" s="20">
        <f t="shared" si="2"/>
        <v>-8.4999999998558451E-3</v>
      </c>
      <c r="Q18" s="20">
        <f t="shared" si="3"/>
        <v>-35.999999999999588</v>
      </c>
      <c r="R18" s="20"/>
      <c r="S18" s="20"/>
    </row>
    <row r="19" spans="1:19" x14ac:dyDescent="0.2">
      <c r="A19" s="21" t="s">
        <v>53</v>
      </c>
      <c r="B19" s="16" t="s">
        <v>54</v>
      </c>
      <c r="C19" s="22" t="str">
        <f t="shared" si="0"/>
        <v>C3Bn/C3Br.1r</v>
      </c>
      <c r="D19" s="4">
        <v>7.0720000000000001</v>
      </c>
      <c r="E19" s="18">
        <v>7.2119999999999997</v>
      </c>
      <c r="F19" s="4">
        <v>7.2119999999999997</v>
      </c>
      <c r="G19" s="18">
        <v>7.2119999999999997</v>
      </c>
      <c r="H19" s="4"/>
      <c r="I19" s="18"/>
      <c r="J19" s="4">
        <v>7.2140000000000004</v>
      </c>
      <c r="K19" s="4"/>
      <c r="L19" s="18">
        <v>7.2137112999999999</v>
      </c>
      <c r="M19" s="19" t="s">
        <v>43</v>
      </c>
      <c r="N19" s="19" t="s">
        <v>44</v>
      </c>
      <c r="O19" s="20">
        <f t="shared" si="1"/>
        <v>1.7113000000001932</v>
      </c>
      <c r="P19" s="20">
        <f t="shared" si="2"/>
        <v>-0.28870000000047469</v>
      </c>
      <c r="Q19" s="20">
        <f t="shared" si="3"/>
        <v>2.0000000000006679</v>
      </c>
      <c r="R19" s="20"/>
      <c r="S19" s="20"/>
    </row>
    <row r="20" spans="1:19" x14ac:dyDescent="0.2">
      <c r="A20" s="21" t="s">
        <v>55</v>
      </c>
      <c r="B20" s="16" t="s">
        <v>56</v>
      </c>
      <c r="C20" s="22" t="str">
        <f t="shared" si="0"/>
        <v>C3Br.1r/C3Br.1n</v>
      </c>
      <c r="D20" s="4">
        <v>7.1349999999999998</v>
      </c>
      <c r="E20" s="18">
        <v>7.2510000000000003</v>
      </c>
      <c r="F20" s="4">
        <v>7.2510000000000003</v>
      </c>
      <c r="G20" s="18">
        <v>7.2510000000000003</v>
      </c>
      <c r="H20" s="4"/>
      <c r="I20" s="18"/>
      <c r="J20" s="4">
        <v>7.2619999999999996</v>
      </c>
      <c r="K20" s="4"/>
      <c r="L20" s="18">
        <v>7.2616639000000003</v>
      </c>
      <c r="M20" s="19" t="s">
        <v>43</v>
      </c>
      <c r="N20" s="19" t="s">
        <v>44</v>
      </c>
      <c r="O20" s="20">
        <f t="shared" si="1"/>
        <v>10.663899999999948</v>
      </c>
      <c r="P20" s="20">
        <f t="shared" si="2"/>
        <v>-0.33609999999928419</v>
      </c>
      <c r="Q20" s="20">
        <f t="shared" si="3"/>
        <v>10.999999999999233</v>
      </c>
      <c r="R20" s="20"/>
      <c r="S20" s="20"/>
    </row>
    <row r="21" spans="1:19" x14ac:dyDescent="0.2">
      <c r="A21" s="21" t="s">
        <v>57</v>
      </c>
      <c r="B21" s="16" t="s">
        <v>58</v>
      </c>
      <c r="C21" s="22" t="str">
        <f t="shared" si="0"/>
        <v>C3Br.1n/C3Br.2r</v>
      </c>
      <c r="D21" s="4">
        <v>7.17</v>
      </c>
      <c r="E21" s="18">
        <v>7.2850000000000001</v>
      </c>
      <c r="F21" s="4">
        <v>7.2850000000000001</v>
      </c>
      <c r="G21" s="18">
        <v>7.2850000000000001</v>
      </c>
      <c r="H21" s="4"/>
      <c r="I21" s="18"/>
      <c r="J21" s="4">
        <v>7.3049999999999997</v>
      </c>
      <c r="K21" s="4"/>
      <c r="L21" s="18">
        <v>7.3046540999999996</v>
      </c>
      <c r="M21" s="19" t="s">
        <v>43</v>
      </c>
      <c r="N21" s="19" t="s">
        <v>44</v>
      </c>
      <c r="O21" s="20">
        <f t="shared" si="1"/>
        <v>19.654099999999453</v>
      </c>
      <c r="P21" s="20">
        <f t="shared" si="2"/>
        <v>-0.34590000000012111</v>
      </c>
      <c r="Q21" s="20">
        <f t="shared" si="3"/>
        <v>19.999999999999574</v>
      </c>
      <c r="R21" s="20"/>
      <c r="S21" s="20"/>
    </row>
    <row r="22" spans="1:19" x14ac:dyDescent="0.2">
      <c r="A22" s="21" t="s">
        <v>59</v>
      </c>
      <c r="B22" s="16" t="s">
        <v>60</v>
      </c>
      <c r="C22" s="22" t="str">
        <f t="shared" si="0"/>
        <v>C3Br.2r/C3Br.2n</v>
      </c>
      <c r="D22" s="4">
        <v>7.3410000000000002</v>
      </c>
      <c r="E22" s="18">
        <v>7.4539999999999997</v>
      </c>
      <c r="F22" s="4">
        <v>7.4539999999999997</v>
      </c>
      <c r="G22" s="18">
        <v>7.4539999999999997</v>
      </c>
      <c r="H22" s="4"/>
      <c r="I22" s="18"/>
      <c r="J22" s="4">
        <v>7.4560000000000004</v>
      </c>
      <c r="K22" s="4"/>
      <c r="L22" s="18">
        <v>7.4560636999999996</v>
      </c>
      <c r="M22" s="19" t="s">
        <v>43</v>
      </c>
      <c r="N22" s="19" t="s">
        <v>44</v>
      </c>
      <c r="O22" s="20">
        <f t="shared" si="1"/>
        <v>2.0636999999998906</v>
      </c>
      <c r="P22" s="20">
        <f t="shared" si="2"/>
        <v>6.3699999999222712E-2</v>
      </c>
      <c r="Q22" s="20">
        <f t="shared" si="3"/>
        <v>2.0000000000006679</v>
      </c>
      <c r="R22" s="20"/>
      <c r="S22" s="20"/>
    </row>
    <row r="23" spans="1:19" x14ac:dyDescent="0.2">
      <c r="A23" s="21" t="s">
        <v>61</v>
      </c>
      <c r="B23" s="16" t="s">
        <v>62</v>
      </c>
      <c r="C23" s="22" t="str">
        <f t="shared" si="0"/>
        <v>C3Br.2n/C3Br.3r</v>
      </c>
      <c r="D23" s="4">
        <v>7.375</v>
      </c>
      <c r="E23" s="18">
        <v>7.4889999999999999</v>
      </c>
      <c r="F23" s="4">
        <v>7.4889999999999999</v>
      </c>
      <c r="G23" s="18">
        <v>7.4889999999999999</v>
      </c>
      <c r="H23" s="4"/>
      <c r="I23" s="18"/>
      <c r="J23" s="4">
        <v>7.4989999999999997</v>
      </c>
      <c r="K23" s="4"/>
      <c r="L23" s="18">
        <v>7.4988922999999996</v>
      </c>
      <c r="M23" s="19" t="s">
        <v>43</v>
      </c>
      <c r="N23" s="19" t="s">
        <v>44</v>
      </c>
      <c r="O23" s="20">
        <f t="shared" si="1"/>
        <v>9.892299999999743</v>
      </c>
      <c r="P23" s="20">
        <f t="shared" si="2"/>
        <v>-0.10770000000004387</v>
      </c>
      <c r="Q23" s="20">
        <f t="shared" si="3"/>
        <v>9.9999999999997868</v>
      </c>
      <c r="R23" s="20"/>
      <c r="S23" s="20"/>
    </row>
    <row r="24" spans="1:19" x14ac:dyDescent="0.2">
      <c r="A24" s="21" t="s">
        <v>63</v>
      </c>
      <c r="B24" s="16" t="s">
        <v>64</v>
      </c>
      <c r="C24" s="22" t="str">
        <f t="shared" si="0"/>
        <v>C3Br.3r/C4n.1n</v>
      </c>
      <c r="D24" s="4">
        <v>7.4059999999999997</v>
      </c>
      <c r="E24" s="18">
        <v>7.5279999999999996</v>
      </c>
      <c r="F24" s="4">
        <v>7.5279999999999996</v>
      </c>
      <c r="G24" s="18">
        <v>7.5279999999999996</v>
      </c>
      <c r="H24" s="4"/>
      <c r="I24" s="18"/>
      <c r="J24" s="4">
        <v>7.5369999999999999</v>
      </c>
      <c r="K24" s="4"/>
      <c r="L24" s="18">
        <v>7.5372095000000003</v>
      </c>
      <c r="M24" s="19" t="s">
        <v>43</v>
      </c>
      <c r="N24" s="19" t="s">
        <v>44</v>
      </c>
      <c r="O24" s="20">
        <f t="shared" si="1"/>
        <v>9.2095000000007587</v>
      </c>
      <c r="P24" s="20">
        <f t="shared" si="2"/>
        <v>0.20950000000041769</v>
      </c>
      <c r="Q24" s="20">
        <f t="shared" si="3"/>
        <v>9.0000000000003411</v>
      </c>
      <c r="R24" s="20"/>
      <c r="S24" s="20"/>
    </row>
    <row r="25" spans="1:19" x14ac:dyDescent="0.2">
      <c r="A25" s="21" t="s">
        <v>65</v>
      </c>
      <c r="B25" s="16" t="s">
        <v>66</v>
      </c>
      <c r="C25" s="22" t="str">
        <f t="shared" si="0"/>
        <v>C4n.1n/C4n.1r</v>
      </c>
      <c r="D25" s="4">
        <v>7.5330000000000004</v>
      </c>
      <c r="E25" s="18">
        <v>7.6420000000000003</v>
      </c>
      <c r="F25" s="4">
        <v>7.6420000000000003</v>
      </c>
      <c r="G25" s="18">
        <v>7.6420000000000003</v>
      </c>
      <c r="H25" s="4"/>
      <c r="I25" s="18"/>
      <c r="J25" s="4">
        <v>7.65</v>
      </c>
      <c r="K25" s="4"/>
      <c r="L25" s="18">
        <v>7.6514163000000002</v>
      </c>
      <c r="M25" s="19" t="s">
        <v>43</v>
      </c>
      <c r="N25" s="19" t="s">
        <v>44</v>
      </c>
      <c r="O25" s="20">
        <f t="shared" si="1"/>
        <v>9.416299999999822</v>
      </c>
      <c r="P25" s="20">
        <f t="shared" si="2"/>
        <v>1.4162999999998149</v>
      </c>
      <c r="Q25" s="20">
        <f t="shared" si="3"/>
        <v>8.0000000000000071</v>
      </c>
      <c r="R25" s="20"/>
      <c r="S25" s="20"/>
    </row>
    <row r="26" spans="1:19" x14ac:dyDescent="0.2">
      <c r="A26" s="21" t="s">
        <v>67</v>
      </c>
      <c r="B26" s="16" t="s">
        <v>68</v>
      </c>
      <c r="C26" s="22" t="str">
        <f t="shared" si="0"/>
        <v>C4n.1r/C4n.2n</v>
      </c>
      <c r="D26" s="4">
        <v>7.6180000000000003</v>
      </c>
      <c r="E26" s="18">
        <v>7.6950000000000003</v>
      </c>
      <c r="F26" s="4">
        <v>7.6950000000000003</v>
      </c>
      <c r="G26" s="18">
        <v>7.6950000000000003</v>
      </c>
      <c r="H26" s="4"/>
      <c r="I26" s="18"/>
      <c r="J26" s="4">
        <v>7.7009999999999996</v>
      </c>
      <c r="K26" s="4"/>
      <c r="L26" s="18">
        <v>7.7010807999999997</v>
      </c>
      <c r="M26" s="19" t="s">
        <v>43</v>
      </c>
      <c r="N26" s="19" t="s">
        <v>44</v>
      </c>
      <c r="O26" s="20">
        <f t="shared" si="1"/>
        <v>6.0807999999994422</v>
      </c>
      <c r="P26" s="20">
        <f t="shared" si="2"/>
        <v>8.0800000000103012E-2</v>
      </c>
      <c r="Q26" s="20">
        <f t="shared" si="3"/>
        <v>5.9999999999993392</v>
      </c>
      <c r="R26" s="20"/>
      <c r="S26" s="20"/>
    </row>
    <row r="27" spans="1:19" x14ac:dyDescent="0.2">
      <c r="A27" s="21" t="s">
        <v>69</v>
      </c>
      <c r="B27" s="16" t="s">
        <v>70</v>
      </c>
      <c r="C27" s="22" t="str">
        <f t="shared" si="0"/>
        <v>C4n.2n/C4r.1r</v>
      </c>
      <c r="D27" s="4">
        <v>8.0269999999999992</v>
      </c>
      <c r="E27" s="18">
        <v>8.1080000000000005</v>
      </c>
      <c r="F27" s="4">
        <v>8.1080000000000005</v>
      </c>
      <c r="G27" s="18">
        <v>8.1080000000000005</v>
      </c>
      <c r="H27" s="4"/>
      <c r="I27" s="18"/>
      <c r="J27" s="4">
        <v>8.125</v>
      </c>
      <c r="K27" s="4"/>
      <c r="L27" s="18">
        <v>8.1072825999999996</v>
      </c>
      <c r="M27" s="19" t="s">
        <v>43</v>
      </c>
      <c r="N27" s="19" t="s">
        <v>44</v>
      </c>
      <c r="O27" s="20">
        <f t="shared" si="1"/>
        <v>-0.71740000000097837</v>
      </c>
      <c r="P27" s="20">
        <f t="shared" si="2"/>
        <v>-17.717400000000438</v>
      </c>
      <c r="Q27" s="20">
        <f t="shared" si="3"/>
        <v>16.99999999999946</v>
      </c>
      <c r="R27" s="20"/>
      <c r="S27" s="20"/>
    </row>
    <row r="28" spans="1:19" x14ac:dyDescent="0.2">
      <c r="A28" s="21" t="s">
        <v>71</v>
      </c>
      <c r="B28" s="16" t="s">
        <v>72</v>
      </c>
      <c r="C28" s="22" t="str">
        <f t="shared" si="0"/>
        <v>C4r.1r/C4r.1n</v>
      </c>
      <c r="D28" s="4">
        <v>8.1739999999999995</v>
      </c>
      <c r="E28" s="18">
        <v>8.2539999999999996</v>
      </c>
      <c r="F28" s="4">
        <v>8.2539999999999996</v>
      </c>
      <c r="G28" s="18">
        <v>8.2539999999999996</v>
      </c>
      <c r="H28" s="4"/>
      <c r="I28" s="18"/>
      <c r="J28" s="4">
        <v>8.2569999999999997</v>
      </c>
      <c r="K28" s="4"/>
      <c r="L28" s="18">
        <v>8.2357492000000008</v>
      </c>
      <c r="M28" s="19" t="s">
        <v>43</v>
      </c>
      <c r="N28" s="19" t="s">
        <v>44</v>
      </c>
      <c r="O28" s="20">
        <f t="shared" si="1"/>
        <v>-18.25079999999879</v>
      </c>
      <c r="P28" s="20">
        <f t="shared" si="2"/>
        <v>-21.250799999998904</v>
      </c>
      <c r="Q28" s="20">
        <f t="shared" si="3"/>
        <v>3.0000000000001137</v>
      </c>
      <c r="R28" s="20"/>
      <c r="S28" s="20"/>
    </row>
    <row r="29" spans="1:19" x14ac:dyDescent="0.2">
      <c r="A29" s="21" t="s">
        <v>73</v>
      </c>
      <c r="B29" s="16" t="s">
        <v>74</v>
      </c>
      <c r="C29" s="22" t="str">
        <f>A29&amp;"/"&amp;A32</f>
        <v>C4r.1n/C4r.2r</v>
      </c>
      <c r="D29" s="4">
        <v>8.2050000000000001</v>
      </c>
      <c r="E29" s="18">
        <v>8.3000000000000007</v>
      </c>
      <c r="F29" s="4">
        <v>8.3000000000000007</v>
      </c>
      <c r="G29" s="18">
        <v>8.3000000000000007</v>
      </c>
      <c r="H29" s="4"/>
      <c r="I29" s="18"/>
      <c r="J29" s="4">
        <v>8.3000000000000007</v>
      </c>
      <c r="K29" s="23" t="s">
        <v>75</v>
      </c>
      <c r="L29" s="18">
        <v>8.3000000000000007</v>
      </c>
      <c r="M29" s="19" t="s">
        <v>24</v>
      </c>
      <c r="N29" s="19"/>
      <c r="O29" s="20">
        <f t="shared" si="1"/>
        <v>0</v>
      </c>
      <c r="P29" s="20">
        <f t="shared" si="2"/>
        <v>0</v>
      </c>
      <c r="Q29" s="20">
        <f t="shared" si="3"/>
        <v>0</v>
      </c>
      <c r="R29" s="20"/>
      <c r="S29" s="20"/>
    </row>
    <row r="30" spans="1:19" x14ac:dyDescent="0.2">
      <c r="A30" s="25" t="s">
        <v>76</v>
      </c>
      <c r="B30" s="26" t="s">
        <v>77</v>
      </c>
      <c r="C30" s="22"/>
      <c r="D30" s="4"/>
      <c r="E30" s="18"/>
      <c r="F30" s="4"/>
      <c r="G30" s="18"/>
      <c r="H30" s="4"/>
      <c r="I30" s="18"/>
      <c r="J30" s="4"/>
      <c r="K30" s="23"/>
      <c r="L30" s="18"/>
      <c r="M30" s="19"/>
      <c r="N30" s="19"/>
      <c r="O30" s="20"/>
      <c r="P30" s="20"/>
      <c r="Q30" s="20"/>
      <c r="R30" s="20"/>
      <c r="S30" s="20"/>
    </row>
    <row r="31" spans="1:19" x14ac:dyDescent="0.2">
      <c r="A31" s="25" t="s">
        <v>76</v>
      </c>
      <c r="B31" s="26" t="s">
        <v>78</v>
      </c>
      <c r="C31" s="22"/>
      <c r="D31" s="4"/>
      <c r="E31" s="18"/>
      <c r="F31" s="4"/>
      <c r="G31" s="18"/>
      <c r="H31" s="4"/>
      <c r="I31" s="18"/>
      <c r="J31" s="4"/>
      <c r="K31" s="23"/>
      <c r="L31" s="18"/>
      <c r="M31" s="19"/>
      <c r="N31" s="19"/>
      <c r="O31" s="20"/>
      <c r="P31" s="20"/>
      <c r="Q31" s="20"/>
      <c r="R31" s="20"/>
      <c r="S31" s="20"/>
    </row>
    <row r="32" spans="1:19" x14ac:dyDescent="0.2">
      <c r="A32" s="21" t="s">
        <v>79</v>
      </c>
      <c r="B32" s="16" t="s">
        <v>80</v>
      </c>
      <c r="C32" s="22" t="str">
        <f t="shared" si="0"/>
        <v>C4r.2r/C4An</v>
      </c>
      <c r="D32" s="4">
        <v>8.6310000000000002</v>
      </c>
      <c r="E32" s="18">
        <v>8.7690000000000001</v>
      </c>
      <c r="F32" s="4">
        <v>8.7710000000000008</v>
      </c>
      <c r="G32" s="18">
        <v>8.7710000000000008</v>
      </c>
      <c r="H32" s="4"/>
      <c r="I32" s="18"/>
      <c r="J32" s="4">
        <v>8.7710000000000008</v>
      </c>
      <c r="K32" s="4"/>
      <c r="L32" s="18">
        <v>8.7710000000000008</v>
      </c>
      <c r="M32" s="19" t="s">
        <v>24</v>
      </c>
      <c r="N32" s="19"/>
      <c r="O32" s="20">
        <f t="shared" si="1"/>
        <v>0</v>
      </c>
      <c r="P32" s="20">
        <f t="shared" si="2"/>
        <v>0</v>
      </c>
      <c r="Q32" s="20">
        <f t="shared" si="3"/>
        <v>0</v>
      </c>
      <c r="R32" s="20"/>
      <c r="S32" s="20"/>
    </row>
    <row r="33" spans="1:19" x14ac:dyDescent="0.2">
      <c r="A33" s="21" t="s">
        <v>81</v>
      </c>
      <c r="B33" s="16" t="s">
        <v>82</v>
      </c>
      <c r="C33" s="22" t="str">
        <f t="shared" si="0"/>
        <v>C4An/C4Ar.1r</v>
      </c>
      <c r="D33" s="4">
        <v>8.9450000000000003</v>
      </c>
      <c r="E33" s="18">
        <v>9.0980000000000008</v>
      </c>
      <c r="F33" s="4">
        <v>9.1050000000000004</v>
      </c>
      <c r="G33" s="18">
        <v>9.1050000000000004</v>
      </c>
      <c r="H33" s="4"/>
      <c r="I33" s="18"/>
      <c r="J33" s="4">
        <v>9.1050000000000004</v>
      </c>
      <c r="K33" s="4"/>
      <c r="L33" s="18">
        <v>9.1050000000000004</v>
      </c>
      <c r="M33" s="19" t="s">
        <v>24</v>
      </c>
      <c r="N33" s="19"/>
      <c r="O33" s="20">
        <f t="shared" si="1"/>
        <v>0</v>
      </c>
      <c r="P33" s="20">
        <f t="shared" si="2"/>
        <v>0</v>
      </c>
      <c r="Q33" s="20">
        <f t="shared" si="3"/>
        <v>0</v>
      </c>
      <c r="R33" s="20"/>
      <c r="S33" s="20"/>
    </row>
    <row r="34" spans="1:19" x14ac:dyDescent="0.2">
      <c r="A34" s="21" t="s">
        <v>83</v>
      </c>
      <c r="B34" s="16" t="s">
        <v>84</v>
      </c>
      <c r="C34" s="22" t="str">
        <f t="shared" si="0"/>
        <v>C4Ar.1r/C4Ar.1n</v>
      </c>
      <c r="D34" s="4">
        <v>9.1419999999999995</v>
      </c>
      <c r="E34" s="18">
        <v>9.3119999999999994</v>
      </c>
      <c r="F34" s="4">
        <v>9.3109999999999999</v>
      </c>
      <c r="G34" s="18">
        <v>9.3109999999999999</v>
      </c>
      <c r="H34" s="4"/>
      <c r="I34" s="18"/>
      <c r="J34" s="4">
        <v>9.3109999999999999</v>
      </c>
      <c r="K34" s="4"/>
      <c r="L34" s="18">
        <v>9.3109999999999999</v>
      </c>
      <c r="M34" s="19" t="s">
        <v>24</v>
      </c>
      <c r="N34" s="19"/>
      <c r="O34" s="20">
        <f t="shared" si="1"/>
        <v>0</v>
      </c>
      <c r="P34" s="20">
        <f t="shared" si="2"/>
        <v>0</v>
      </c>
      <c r="Q34" s="20">
        <f t="shared" si="3"/>
        <v>0</v>
      </c>
      <c r="R34" s="20"/>
      <c r="S34" s="20"/>
    </row>
    <row r="35" spans="1:19" x14ac:dyDescent="0.2">
      <c r="A35" s="21" t="s">
        <v>85</v>
      </c>
      <c r="B35" s="16" t="s">
        <v>86</v>
      </c>
      <c r="C35" s="22" t="str">
        <f t="shared" si="0"/>
        <v>C4Ar.1n/C4Ar.2r</v>
      </c>
      <c r="D35" s="4">
        <v>9.218</v>
      </c>
      <c r="E35" s="18">
        <v>9.4090000000000007</v>
      </c>
      <c r="F35" s="4">
        <v>9.4260000000000002</v>
      </c>
      <c r="G35" s="18">
        <v>9.4260000000000002</v>
      </c>
      <c r="H35" s="4"/>
      <c r="I35" s="18"/>
      <c r="J35" s="4">
        <v>9.4260000000000002</v>
      </c>
      <c r="K35" s="4"/>
      <c r="L35" s="18">
        <v>9.4260000000000002</v>
      </c>
      <c r="M35" s="19" t="s">
        <v>24</v>
      </c>
      <c r="N35" s="19"/>
      <c r="O35" s="20">
        <f t="shared" si="1"/>
        <v>0</v>
      </c>
      <c r="P35" s="20">
        <f t="shared" si="2"/>
        <v>0</v>
      </c>
      <c r="Q35" s="20">
        <f t="shared" si="3"/>
        <v>0</v>
      </c>
      <c r="R35" s="20"/>
      <c r="S35" s="20"/>
    </row>
    <row r="36" spans="1:19" x14ac:dyDescent="0.2">
      <c r="A36" s="21" t="s">
        <v>87</v>
      </c>
      <c r="B36" s="16" t="s">
        <v>88</v>
      </c>
      <c r="C36" s="22" t="str">
        <f t="shared" si="0"/>
        <v>C4Ar.2r/C4Ar.2n</v>
      </c>
      <c r="D36" s="4">
        <v>9.4819999999999993</v>
      </c>
      <c r="E36" s="18">
        <v>9.6560000000000006</v>
      </c>
      <c r="F36" s="4">
        <v>9.6470000000000002</v>
      </c>
      <c r="G36" s="18">
        <v>9.6470000000000002</v>
      </c>
      <c r="H36" s="4"/>
      <c r="I36" s="18"/>
      <c r="J36" s="4">
        <v>9.6470000000000002</v>
      </c>
      <c r="K36" s="4"/>
      <c r="L36" s="18">
        <v>9.6470000000000002</v>
      </c>
      <c r="M36" s="19" t="s">
        <v>24</v>
      </c>
      <c r="N36" s="19"/>
      <c r="O36" s="20">
        <f t="shared" si="1"/>
        <v>0</v>
      </c>
      <c r="P36" s="20">
        <f t="shared" si="2"/>
        <v>0</v>
      </c>
      <c r="Q36" s="20">
        <f t="shared" si="3"/>
        <v>0</v>
      </c>
      <c r="R36" s="20"/>
      <c r="S36" s="20"/>
    </row>
    <row r="37" spans="1:19" x14ac:dyDescent="0.2">
      <c r="A37" s="21" t="s">
        <v>89</v>
      </c>
      <c r="B37" s="16" t="s">
        <v>90</v>
      </c>
      <c r="C37" s="22" t="str">
        <f t="shared" si="0"/>
        <v>C4Ar.2n/C4Ar.3r</v>
      </c>
      <c r="D37" s="4">
        <v>9.5429999999999993</v>
      </c>
      <c r="E37" s="18">
        <v>9.7170000000000005</v>
      </c>
      <c r="F37" s="4">
        <v>9.7210000000000001</v>
      </c>
      <c r="G37" s="18">
        <v>9.7210000000000001</v>
      </c>
      <c r="H37" s="4"/>
      <c r="I37" s="18"/>
      <c r="J37" s="4">
        <v>9.7210000000000001</v>
      </c>
      <c r="K37" s="4"/>
      <c r="L37" s="18">
        <v>9.7210000000000001</v>
      </c>
      <c r="M37" s="19" t="s">
        <v>24</v>
      </c>
      <c r="N37" s="19"/>
      <c r="O37" s="20">
        <f t="shared" si="1"/>
        <v>0</v>
      </c>
      <c r="P37" s="20">
        <f t="shared" si="2"/>
        <v>0</v>
      </c>
      <c r="Q37" s="20">
        <f t="shared" si="3"/>
        <v>0</v>
      </c>
      <c r="R37" s="20"/>
      <c r="S37" s="20"/>
    </row>
    <row r="38" spans="1:19" x14ac:dyDescent="0.2">
      <c r="A38" s="21" t="s">
        <v>91</v>
      </c>
      <c r="B38" s="16" t="s">
        <v>92</v>
      </c>
      <c r="C38" s="22" t="str">
        <f t="shared" si="0"/>
        <v>C4Ar.3r/C5n.1n</v>
      </c>
      <c r="D38" s="4">
        <v>9.6389999999999993</v>
      </c>
      <c r="E38" s="18">
        <v>9.7789999999999999</v>
      </c>
      <c r="F38" s="4">
        <v>9.7859999999999996</v>
      </c>
      <c r="G38" s="18">
        <v>9.7859999999999996</v>
      </c>
      <c r="H38" s="4"/>
      <c r="I38" s="18"/>
      <c r="J38" s="4">
        <v>9.7859999999999996</v>
      </c>
      <c r="K38" s="4"/>
      <c r="L38" s="18">
        <v>9.7859999999999996</v>
      </c>
      <c r="M38" s="19" t="s">
        <v>24</v>
      </c>
      <c r="N38" s="19"/>
      <c r="O38" s="20">
        <f t="shared" si="1"/>
        <v>0</v>
      </c>
      <c r="P38" s="20">
        <f t="shared" si="2"/>
        <v>0</v>
      </c>
      <c r="Q38" s="20">
        <f t="shared" si="3"/>
        <v>0</v>
      </c>
      <c r="R38" s="20"/>
      <c r="S38" s="20"/>
    </row>
    <row r="39" spans="1:19" x14ac:dyDescent="0.2">
      <c r="A39" s="21" t="s">
        <v>93</v>
      </c>
      <c r="B39" s="16" t="s">
        <v>94</v>
      </c>
      <c r="C39" s="22" t="str">
        <f t="shared" si="0"/>
        <v>C5n.1n/C5n.1r</v>
      </c>
      <c r="D39" s="4">
        <v>9.8800000000000008</v>
      </c>
      <c r="E39" s="18">
        <v>9.9339999999999993</v>
      </c>
      <c r="F39" s="4">
        <v>9.9369999999999994</v>
      </c>
      <c r="G39" s="18">
        <v>9.9369999999999994</v>
      </c>
      <c r="H39" s="4"/>
      <c r="I39" s="18"/>
      <c r="J39" s="4">
        <v>9.9369999999999994</v>
      </c>
      <c r="K39" s="4"/>
      <c r="L39" s="18">
        <v>9.9369999999999994</v>
      </c>
      <c r="M39" s="19" t="s">
        <v>24</v>
      </c>
      <c r="N39" s="19"/>
      <c r="O39" s="20">
        <f t="shared" si="1"/>
        <v>0</v>
      </c>
      <c r="P39" s="20">
        <f t="shared" si="2"/>
        <v>0</v>
      </c>
      <c r="Q39" s="20">
        <f t="shared" si="3"/>
        <v>0</v>
      </c>
      <c r="R39" s="20"/>
      <c r="S39" s="20"/>
    </row>
    <row r="40" spans="1:19" x14ac:dyDescent="0.2">
      <c r="A40" s="21" t="s">
        <v>95</v>
      </c>
      <c r="B40" s="16" t="s">
        <v>96</v>
      </c>
      <c r="C40" s="22" t="str">
        <f t="shared" si="0"/>
        <v>C5n.1r/C5n.2n</v>
      </c>
      <c r="D40" s="4">
        <v>9.92</v>
      </c>
      <c r="E40" s="18">
        <v>9.9870000000000001</v>
      </c>
      <c r="F40" s="4">
        <v>9.984</v>
      </c>
      <c r="G40" s="18">
        <v>9.984</v>
      </c>
      <c r="H40" s="4"/>
      <c r="I40" s="18"/>
      <c r="J40" s="4">
        <v>9.984</v>
      </c>
      <c r="K40" s="4"/>
      <c r="L40" s="18">
        <v>9.984</v>
      </c>
      <c r="M40" s="19" t="s">
        <v>24</v>
      </c>
      <c r="N40" s="19"/>
      <c r="O40" s="20">
        <f t="shared" si="1"/>
        <v>0</v>
      </c>
      <c r="P40" s="20">
        <f t="shared" si="2"/>
        <v>0</v>
      </c>
      <c r="Q40" s="20">
        <f t="shared" si="3"/>
        <v>0</v>
      </c>
      <c r="R40" s="20"/>
      <c r="S40" s="20"/>
    </row>
    <row r="41" spans="1:19" x14ac:dyDescent="0.2">
      <c r="A41" s="21" t="s">
        <v>97</v>
      </c>
      <c r="B41" s="16" t="s">
        <v>98</v>
      </c>
      <c r="C41" s="22" t="str">
        <f t="shared" si="0"/>
        <v>C5n.2n/C5r.1r</v>
      </c>
      <c r="D41" s="4">
        <v>10.839</v>
      </c>
      <c r="E41" s="18">
        <v>11.04</v>
      </c>
      <c r="F41" s="4">
        <v>11.055999999999999</v>
      </c>
      <c r="G41" s="18">
        <v>11.055999999999999</v>
      </c>
      <c r="H41" s="4"/>
      <c r="I41" s="18"/>
      <c r="J41" s="4">
        <v>11.055999999999999</v>
      </c>
      <c r="K41" s="4"/>
      <c r="L41" s="18">
        <v>11.055999999999999</v>
      </c>
      <c r="M41" s="19" t="s">
        <v>24</v>
      </c>
      <c r="N41" s="19"/>
      <c r="O41" s="20">
        <f t="shared" si="1"/>
        <v>0</v>
      </c>
      <c r="P41" s="20">
        <f t="shared" si="2"/>
        <v>0</v>
      </c>
      <c r="Q41" s="20">
        <f t="shared" si="3"/>
        <v>0</v>
      </c>
      <c r="R41" s="20"/>
      <c r="S41" s="20"/>
    </row>
    <row r="42" spans="1:19" x14ac:dyDescent="0.2">
      <c r="A42" s="21" t="s">
        <v>99</v>
      </c>
      <c r="B42" s="16" t="s">
        <v>100</v>
      </c>
      <c r="C42" s="22" t="str">
        <f t="shared" si="0"/>
        <v>C5r.1r/C5r.1n</v>
      </c>
      <c r="D42" s="4">
        <v>10.943</v>
      </c>
      <c r="E42" s="18">
        <v>11.118</v>
      </c>
      <c r="F42" s="4">
        <v>11.146000000000001</v>
      </c>
      <c r="G42" s="18">
        <v>11.146000000000001</v>
      </c>
      <c r="H42" s="4"/>
      <c r="I42" s="18"/>
      <c r="J42" s="4">
        <v>11.146000000000001</v>
      </c>
      <c r="K42" s="4"/>
      <c r="L42" s="18">
        <v>11.146000000000001</v>
      </c>
      <c r="M42" s="19" t="s">
        <v>24</v>
      </c>
      <c r="N42" s="19"/>
      <c r="O42" s="20">
        <f t="shared" si="1"/>
        <v>0</v>
      </c>
      <c r="P42" s="20">
        <f t="shared" si="2"/>
        <v>0</v>
      </c>
      <c r="Q42" s="20">
        <f t="shared" si="3"/>
        <v>0</v>
      </c>
      <c r="R42" s="20"/>
      <c r="S42" s="20"/>
    </row>
    <row r="43" spans="1:19" x14ac:dyDescent="0.2">
      <c r="A43" s="21" t="s">
        <v>101</v>
      </c>
      <c r="B43" s="16" t="s">
        <v>102</v>
      </c>
      <c r="C43" s="22" t="str">
        <f>A43&amp;"/"&amp;A46</f>
        <v>C5r.1n/C5r.2r</v>
      </c>
      <c r="D43" s="4">
        <v>10.991</v>
      </c>
      <c r="E43" s="18">
        <v>11.154</v>
      </c>
      <c r="F43" s="4">
        <v>11.188000000000001</v>
      </c>
      <c r="G43" s="18">
        <v>11.188000000000001</v>
      </c>
      <c r="H43" s="4"/>
      <c r="I43" s="18"/>
      <c r="J43" s="4">
        <v>11.188000000000001</v>
      </c>
      <c r="K43" s="4"/>
      <c r="L43" s="18">
        <v>11.188000000000001</v>
      </c>
      <c r="M43" s="19" t="s">
        <v>24</v>
      </c>
      <c r="N43" s="19"/>
      <c r="O43" s="20">
        <f t="shared" si="1"/>
        <v>0</v>
      </c>
      <c r="P43" s="20">
        <f t="shared" si="2"/>
        <v>0</v>
      </c>
      <c r="Q43" s="20">
        <f t="shared" si="3"/>
        <v>0</v>
      </c>
      <c r="R43" s="20"/>
      <c r="S43" s="20"/>
    </row>
    <row r="44" spans="1:19" s="32" customFormat="1" x14ac:dyDescent="0.2">
      <c r="A44" s="25" t="s">
        <v>76</v>
      </c>
      <c r="B44" s="26" t="s">
        <v>103</v>
      </c>
      <c r="C44" s="27"/>
      <c r="D44" s="28"/>
      <c r="E44" s="29"/>
      <c r="F44" s="28"/>
      <c r="G44" s="29"/>
      <c r="H44" s="28"/>
      <c r="I44" s="29"/>
      <c r="J44" s="28"/>
      <c r="K44" s="28"/>
      <c r="L44" s="29"/>
      <c r="M44" s="30"/>
      <c r="N44" s="30"/>
      <c r="O44" s="31"/>
      <c r="P44" s="31"/>
      <c r="Q44" s="31"/>
      <c r="R44" s="31"/>
      <c r="S44" s="31"/>
    </row>
    <row r="45" spans="1:19" s="32" customFormat="1" x14ac:dyDescent="0.2">
      <c r="A45" s="25" t="s">
        <v>76</v>
      </c>
      <c r="B45" s="26" t="s">
        <v>104</v>
      </c>
      <c r="C45" s="27"/>
      <c r="D45" s="28"/>
      <c r="E45" s="29"/>
      <c r="F45" s="28"/>
      <c r="G45" s="29"/>
      <c r="H45" s="28"/>
      <c r="I45" s="29"/>
      <c r="J45" s="28"/>
      <c r="K45" s="28"/>
      <c r="L45" s="29"/>
      <c r="M45" s="30"/>
      <c r="N45" s="30"/>
      <c r="O45" s="31"/>
      <c r="P45" s="31"/>
      <c r="Q45" s="31"/>
      <c r="R45" s="31"/>
      <c r="S45" s="31"/>
    </row>
    <row r="46" spans="1:19" x14ac:dyDescent="0.2">
      <c r="A46" s="21" t="s">
        <v>105</v>
      </c>
      <c r="B46" s="16" t="s">
        <v>106</v>
      </c>
      <c r="C46" s="22" t="str">
        <f>A46&amp;"/"&amp;A47</f>
        <v>C5r.2r/C5r.2n</v>
      </c>
      <c r="D46" s="4">
        <v>11.343</v>
      </c>
      <c r="E46" s="18">
        <v>11.554</v>
      </c>
      <c r="F46" s="4">
        <v>11.592000000000001</v>
      </c>
      <c r="G46" s="18">
        <v>11.592000000000001</v>
      </c>
      <c r="H46" s="4"/>
      <c r="I46" s="18"/>
      <c r="J46" s="4">
        <v>11.592000000000001</v>
      </c>
      <c r="K46" s="4"/>
      <c r="L46" s="18">
        <v>11.592000000000001</v>
      </c>
      <c r="M46" s="19" t="s">
        <v>24</v>
      </c>
      <c r="N46" s="19"/>
      <c r="O46" s="20">
        <f t="shared" si="1"/>
        <v>0</v>
      </c>
      <c r="P46" s="20">
        <f t="shared" si="2"/>
        <v>0</v>
      </c>
      <c r="Q46" s="20">
        <f t="shared" si="3"/>
        <v>0</v>
      </c>
      <c r="R46" s="20"/>
      <c r="S46" s="20"/>
    </row>
    <row r="47" spans="1:19" x14ac:dyDescent="0.2">
      <c r="A47" s="21" t="s">
        <v>107</v>
      </c>
      <c r="B47" s="16" t="s">
        <v>108</v>
      </c>
      <c r="C47" s="22" t="str">
        <f t="shared" si="0"/>
        <v>C5r.2n/C5r.3r</v>
      </c>
      <c r="D47" s="4">
        <v>11.428000000000001</v>
      </c>
      <c r="E47" s="18">
        <v>11.614000000000001</v>
      </c>
      <c r="F47" s="4">
        <v>11.657</v>
      </c>
      <c r="G47" s="18">
        <v>11.657</v>
      </c>
      <c r="H47" s="4"/>
      <c r="I47" s="18"/>
      <c r="J47" s="4">
        <v>11.657</v>
      </c>
      <c r="K47" s="4"/>
      <c r="L47" s="18">
        <v>11.657</v>
      </c>
      <c r="M47" s="19" t="s">
        <v>24</v>
      </c>
      <c r="N47" s="19"/>
      <c r="O47" s="20">
        <f t="shared" si="1"/>
        <v>0</v>
      </c>
      <c r="P47" s="20">
        <f t="shared" si="2"/>
        <v>0</v>
      </c>
      <c r="Q47" s="20">
        <f t="shared" si="3"/>
        <v>0</v>
      </c>
      <c r="R47" s="20"/>
      <c r="S47" s="20"/>
    </row>
    <row r="48" spans="1:19" x14ac:dyDescent="0.2">
      <c r="A48" s="21" t="s">
        <v>109</v>
      </c>
      <c r="B48" s="16" t="s">
        <v>110</v>
      </c>
      <c r="C48" s="22" t="str">
        <f t="shared" si="0"/>
        <v>C5r.3r/C5An.1n</v>
      </c>
      <c r="D48" s="4">
        <v>11.840999999999999</v>
      </c>
      <c r="E48" s="18">
        <v>12.013999999999999</v>
      </c>
      <c r="F48" s="4">
        <v>12.048999999999999</v>
      </c>
      <c r="G48" s="18">
        <v>12.048999999999999</v>
      </c>
      <c r="H48" s="4"/>
      <c r="I48" s="18"/>
      <c r="J48" s="4">
        <v>12.048999999999999</v>
      </c>
      <c r="K48" s="4"/>
      <c r="L48" s="18">
        <v>12.048999999999999</v>
      </c>
      <c r="M48" s="19" t="s">
        <v>24</v>
      </c>
      <c r="N48" s="19"/>
      <c r="O48" s="20">
        <f t="shared" si="1"/>
        <v>0</v>
      </c>
      <c r="P48" s="20">
        <f t="shared" si="2"/>
        <v>0</v>
      </c>
      <c r="Q48" s="20">
        <f t="shared" si="3"/>
        <v>0</v>
      </c>
      <c r="R48" s="20"/>
      <c r="S48" s="20"/>
    </row>
    <row r="49" spans="1:19" x14ac:dyDescent="0.2">
      <c r="A49" s="21" t="s">
        <v>111</v>
      </c>
      <c r="B49" s="16" t="s">
        <v>112</v>
      </c>
      <c r="C49" s="22" t="str">
        <f t="shared" si="0"/>
        <v>C5An.1n/C5An.1r</v>
      </c>
      <c r="D49" s="4">
        <v>11.988</v>
      </c>
      <c r="E49" s="18">
        <v>12.116</v>
      </c>
      <c r="F49" s="4">
        <v>12.173999999999999</v>
      </c>
      <c r="G49" s="18">
        <v>12.173999999999999</v>
      </c>
      <c r="H49" s="4"/>
      <c r="I49" s="18"/>
      <c r="J49" s="4">
        <v>12.173999999999999</v>
      </c>
      <c r="K49" s="4"/>
      <c r="L49" s="18">
        <v>12.173999999999999</v>
      </c>
      <c r="M49" s="19" t="s">
        <v>24</v>
      </c>
      <c r="N49" s="19"/>
      <c r="O49" s="20">
        <f t="shared" si="1"/>
        <v>0</v>
      </c>
      <c r="P49" s="20">
        <f t="shared" si="2"/>
        <v>0</v>
      </c>
      <c r="Q49" s="20">
        <f t="shared" si="3"/>
        <v>0</v>
      </c>
      <c r="R49" s="20"/>
      <c r="S49" s="20"/>
    </row>
    <row r="50" spans="1:19" x14ac:dyDescent="0.2">
      <c r="A50" s="21" t="s">
        <v>113</v>
      </c>
      <c r="B50" s="16" t="s">
        <v>114</v>
      </c>
      <c r="C50" s="22" t="str">
        <f t="shared" si="0"/>
        <v>C5An.1r/C5An.2n</v>
      </c>
      <c r="D50" s="4">
        <v>12.096</v>
      </c>
      <c r="E50" s="18">
        <v>12.207000000000001</v>
      </c>
      <c r="F50" s="4">
        <v>12.272</v>
      </c>
      <c r="G50" s="18">
        <v>12.272</v>
      </c>
      <c r="H50" s="4"/>
      <c r="I50" s="18"/>
      <c r="J50" s="4">
        <v>12.272</v>
      </c>
      <c r="K50" s="4"/>
      <c r="L50" s="18">
        <v>12.272</v>
      </c>
      <c r="M50" s="19" t="s">
        <v>24</v>
      </c>
      <c r="N50" s="19"/>
      <c r="O50" s="20">
        <f t="shared" si="1"/>
        <v>0</v>
      </c>
      <c r="P50" s="20">
        <f t="shared" si="2"/>
        <v>0</v>
      </c>
      <c r="Q50" s="20">
        <f t="shared" si="3"/>
        <v>0</v>
      </c>
      <c r="R50" s="20"/>
      <c r="S50" s="20"/>
    </row>
    <row r="51" spans="1:19" x14ac:dyDescent="0.2">
      <c r="A51" s="21" t="s">
        <v>115</v>
      </c>
      <c r="B51" s="16" t="s">
        <v>116</v>
      </c>
      <c r="C51" s="22" t="str">
        <f t="shared" si="0"/>
        <v>C5An.2n/C5Ar.1r</v>
      </c>
      <c r="D51" s="4">
        <v>12.32</v>
      </c>
      <c r="E51" s="18">
        <v>12.414999999999999</v>
      </c>
      <c r="F51" s="4">
        <v>12.474</v>
      </c>
      <c r="G51" s="18">
        <v>12.474</v>
      </c>
      <c r="H51" s="4"/>
      <c r="I51" s="18"/>
      <c r="J51" s="4">
        <v>12.474</v>
      </c>
      <c r="K51" s="4"/>
      <c r="L51" s="18">
        <v>12.474</v>
      </c>
      <c r="M51" s="19" t="s">
        <v>24</v>
      </c>
      <c r="N51" s="19"/>
      <c r="O51" s="20">
        <f t="shared" si="1"/>
        <v>0</v>
      </c>
      <c r="P51" s="20">
        <f t="shared" si="2"/>
        <v>0</v>
      </c>
      <c r="Q51" s="20">
        <f t="shared" si="3"/>
        <v>0</v>
      </c>
      <c r="R51" s="20"/>
      <c r="S51" s="20"/>
    </row>
    <row r="52" spans="1:19" x14ac:dyDescent="0.2">
      <c r="A52" s="21" t="s">
        <v>117</v>
      </c>
      <c r="B52" s="16" t="s">
        <v>118</v>
      </c>
      <c r="C52" s="22" t="str">
        <f t="shared" si="0"/>
        <v>C5Ar.1r/C5Ar.1n</v>
      </c>
      <c r="D52" s="4">
        <v>12.605</v>
      </c>
      <c r="E52" s="18">
        <v>12.73</v>
      </c>
      <c r="F52" s="4">
        <v>12.734999999999999</v>
      </c>
      <c r="G52" s="18">
        <v>12.734999999999999</v>
      </c>
      <c r="H52" s="4"/>
      <c r="I52" s="18"/>
      <c r="J52" s="4">
        <v>12.734999999999999</v>
      </c>
      <c r="K52" s="4"/>
      <c r="L52" s="18">
        <v>12.734999999999999</v>
      </c>
      <c r="M52" s="19" t="s">
        <v>24</v>
      </c>
      <c r="N52" s="19"/>
      <c r="O52" s="20">
        <f t="shared" si="1"/>
        <v>0</v>
      </c>
      <c r="P52" s="20">
        <f t="shared" si="2"/>
        <v>0</v>
      </c>
      <c r="Q52" s="20">
        <f t="shared" si="3"/>
        <v>0</v>
      </c>
      <c r="R52" s="20"/>
      <c r="S52" s="20"/>
    </row>
    <row r="53" spans="1:19" x14ac:dyDescent="0.2">
      <c r="A53" s="21" t="s">
        <v>119</v>
      </c>
      <c r="B53" s="16" t="s">
        <v>120</v>
      </c>
      <c r="C53" s="22" t="str">
        <f t="shared" si="0"/>
        <v>C5Ar.1n/C5Ar.2r</v>
      </c>
      <c r="D53" s="4">
        <v>12.637</v>
      </c>
      <c r="E53" s="18">
        <v>12.765000000000001</v>
      </c>
      <c r="F53" s="4">
        <v>12.77</v>
      </c>
      <c r="G53" s="18">
        <v>12.77</v>
      </c>
      <c r="H53" s="4"/>
      <c r="I53" s="18"/>
      <c r="J53" s="4">
        <v>12.77</v>
      </c>
      <c r="K53" s="4"/>
      <c r="L53" s="18">
        <v>12.77</v>
      </c>
      <c r="M53" s="19" t="s">
        <v>24</v>
      </c>
      <c r="N53" s="19"/>
      <c r="O53" s="20">
        <f t="shared" si="1"/>
        <v>0</v>
      </c>
      <c r="P53" s="20">
        <f t="shared" si="2"/>
        <v>0</v>
      </c>
      <c r="Q53" s="20">
        <f t="shared" si="3"/>
        <v>0</v>
      </c>
      <c r="R53" s="20"/>
      <c r="S53" s="20"/>
    </row>
    <row r="54" spans="1:19" x14ac:dyDescent="0.2">
      <c r="A54" s="21" t="s">
        <v>121</v>
      </c>
      <c r="B54" s="16" t="s">
        <v>122</v>
      </c>
      <c r="C54" s="22" t="str">
        <f t="shared" si="0"/>
        <v>C5Ar.2r/C5Ar.2n</v>
      </c>
      <c r="D54" s="4">
        <v>12.705</v>
      </c>
      <c r="E54" s="18">
        <v>12.82</v>
      </c>
      <c r="F54" s="4">
        <v>12.829000000000001</v>
      </c>
      <c r="G54" s="18">
        <v>12.829000000000001</v>
      </c>
      <c r="H54" s="4"/>
      <c r="I54" s="18"/>
      <c r="J54" s="4">
        <v>12.829000000000001</v>
      </c>
      <c r="K54" s="4"/>
      <c r="L54" s="18">
        <v>12.829000000000001</v>
      </c>
      <c r="M54" s="19" t="s">
        <v>24</v>
      </c>
      <c r="N54" s="19"/>
      <c r="O54" s="20">
        <f t="shared" si="1"/>
        <v>0</v>
      </c>
      <c r="P54" s="20">
        <f t="shared" si="2"/>
        <v>0</v>
      </c>
      <c r="Q54" s="20">
        <f t="shared" si="3"/>
        <v>0</v>
      </c>
      <c r="R54" s="20"/>
      <c r="S54" s="20"/>
    </row>
    <row r="55" spans="1:19" x14ac:dyDescent="0.2">
      <c r="A55" s="21" t="s">
        <v>123</v>
      </c>
      <c r="B55" s="16" t="s">
        <v>124</v>
      </c>
      <c r="C55" s="22" t="str">
        <f t="shared" si="0"/>
        <v>C5Ar.2n/C5Ar.3r</v>
      </c>
      <c r="D55" s="4">
        <v>12.752000000000001</v>
      </c>
      <c r="E55" s="18">
        <v>12.878</v>
      </c>
      <c r="F55" s="4">
        <v>12.887</v>
      </c>
      <c r="G55" s="18">
        <v>12.887</v>
      </c>
      <c r="H55" s="4"/>
      <c r="I55" s="18"/>
      <c r="J55" s="4">
        <v>12.887</v>
      </c>
      <c r="K55" s="4"/>
      <c r="L55" s="18">
        <v>12.887</v>
      </c>
      <c r="M55" s="19" t="s">
        <v>24</v>
      </c>
      <c r="N55" s="19"/>
      <c r="O55" s="20">
        <f t="shared" si="1"/>
        <v>0</v>
      </c>
      <c r="P55" s="20">
        <f t="shared" si="2"/>
        <v>0</v>
      </c>
      <c r="Q55" s="20">
        <f t="shared" si="3"/>
        <v>0</v>
      </c>
      <c r="R55" s="20"/>
      <c r="S55" s="20"/>
    </row>
    <row r="56" spans="1:19" x14ac:dyDescent="0.2">
      <c r="A56" s="21" t="s">
        <v>125</v>
      </c>
      <c r="B56" s="16" t="s">
        <v>126</v>
      </c>
      <c r="C56" s="22" t="str">
        <f t="shared" si="0"/>
        <v>C5Ar.3r/C5AAn</v>
      </c>
      <c r="D56" s="4">
        <v>12.929</v>
      </c>
      <c r="E56" s="18">
        <v>13.015000000000001</v>
      </c>
      <c r="F56" s="4">
        <v>13.032</v>
      </c>
      <c r="G56" s="18">
        <v>13.032</v>
      </c>
      <c r="H56" s="4"/>
      <c r="I56" s="18"/>
      <c r="J56" s="4">
        <v>13.032</v>
      </c>
      <c r="K56" s="4"/>
      <c r="L56" s="18">
        <v>13.032</v>
      </c>
      <c r="M56" s="19" t="s">
        <v>24</v>
      </c>
      <c r="N56" s="19"/>
      <c r="O56" s="20">
        <f t="shared" si="1"/>
        <v>0</v>
      </c>
      <c r="P56" s="20">
        <f t="shared" si="2"/>
        <v>0</v>
      </c>
      <c r="Q56" s="20">
        <f t="shared" si="3"/>
        <v>0</v>
      </c>
      <c r="R56" s="20"/>
      <c r="S56" s="20"/>
    </row>
    <row r="57" spans="1:19" x14ac:dyDescent="0.2">
      <c r="A57" s="21" t="s">
        <v>127</v>
      </c>
      <c r="B57" s="16" t="s">
        <v>128</v>
      </c>
      <c r="C57" s="22" t="str">
        <f t="shared" si="0"/>
        <v>C5AAn/C5AAr</v>
      </c>
      <c r="D57" s="4">
        <v>13.083</v>
      </c>
      <c r="E57" s="18">
        <v>13.183</v>
      </c>
      <c r="F57" s="4">
        <v>13.183</v>
      </c>
      <c r="G57" s="18">
        <v>13.183</v>
      </c>
      <c r="H57" s="4"/>
      <c r="I57" s="18"/>
      <c r="J57" s="4">
        <v>13.183</v>
      </c>
      <c r="K57" s="4"/>
      <c r="L57" s="18">
        <v>13.183</v>
      </c>
      <c r="M57" s="19" t="s">
        <v>24</v>
      </c>
      <c r="N57" s="19"/>
      <c r="O57" s="20">
        <f t="shared" si="1"/>
        <v>0</v>
      </c>
      <c r="P57" s="20">
        <f t="shared" si="2"/>
        <v>0</v>
      </c>
      <c r="Q57" s="20">
        <f t="shared" si="3"/>
        <v>0</v>
      </c>
      <c r="R57" s="20"/>
      <c r="S57" s="20"/>
    </row>
    <row r="58" spans="1:19" x14ac:dyDescent="0.2">
      <c r="A58" s="21" t="s">
        <v>129</v>
      </c>
      <c r="B58" s="16" t="s">
        <v>130</v>
      </c>
      <c r="C58" s="22" t="str">
        <f t="shared" si="0"/>
        <v>C5AAr/C5ABn</v>
      </c>
      <c r="D58" s="4">
        <v>13.252000000000001</v>
      </c>
      <c r="E58" s="18">
        <v>13.369</v>
      </c>
      <c r="F58" s="4">
        <v>13.363</v>
      </c>
      <c r="G58" s="18">
        <v>13.363</v>
      </c>
      <c r="H58" s="4"/>
      <c r="I58" s="18"/>
      <c r="J58" s="4">
        <v>13.363</v>
      </c>
      <c r="K58" s="4"/>
      <c r="L58" s="18">
        <v>13.363</v>
      </c>
      <c r="M58" s="19" t="s">
        <v>24</v>
      </c>
      <c r="N58" s="19"/>
      <c r="O58" s="20">
        <f t="shared" si="1"/>
        <v>0</v>
      </c>
      <c r="P58" s="20">
        <f t="shared" si="2"/>
        <v>0</v>
      </c>
      <c r="Q58" s="20">
        <f t="shared" si="3"/>
        <v>0</v>
      </c>
      <c r="R58" s="20"/>
      <c r="S58" s="20"/>
    </row>
    <row r="59" spans="1:19" x14ac:dyDescent="0.2">
      <c r="A59" s="21" t="s">
        <v>131</v>
      </c>
      <c r="B59" s="16" t="s">
        <v>132</v>
      </c>
      <c r="C59" s="22" t="str">
        <f t="shared" si="0"/>
        <v>C5ABn/C5ABr</v>
      </c>
      <c r="D59" s="4">
        <v>13.465999999999999</v>
      </c>
      <c r="E59" s="18">
        <v>13.605</v>
      </c>
      <c r="F59" s="4">
        <v>13.608000000000001</v>
      </c>
      <c r="G59" s="18">
        <v>13.608000000000001</v>
      </c>
      <c r="H59" s="4"/>
      <c r="I59" s="18"/>
      <c r="J59" s="4">
        <v>13.608000000000001</v>
      </c>
      <c r="K59" s="4"/>
      <c r="L59" s="18">
        <v>13.608000000000001</v>
      </c>
      <c r="M59" s="19" t="s">
        <v>24</v>
      </c>
      <c r="N59" s="19"/>
      <c r="O59" s="20">
        <f t="shared" si="1"/>
        <v>0</v>
      </c>
      <c r="P59" s="20">
        <f t="shared" si="2"/>
        <v>0</v>
      </c>
      <c r="Q59" s="20">
        <f t="shared" si="3"/>
        <v>0</v>
      </c>
      <c r="R59" s="20"/>
      <c r="S59" s="20"/>
    </row>
    <row r="60" spans="1:19" x14ac:dyDescent="0.2">
      <c r="A60" s="21" t="s">
        <v>133</v>
      </c>
      <c r="B60" s="16" t="s">
        <v>134</v>
      </c>
      <c r="C60" s="22" t="str">
        <f t="shared" si="0"/>
        <v>C5ABr/C5ACn</v>
      </c>
      <c r="D60" s="4">
        <v>13.666</v>
      </c>
      <c r="E60" s="18">
        <v>13.734</v>
      </c>
      <c r="F60" s="4">
        <v>13.739000000000001</v>
      </c>
      <c r="G60" s="18">
        <v>13.739000000000001</v>
      </c>
      <c r="H60" s="4"/>
      <c r="I60" s="18"/>
      <c r="J60" s="4">
        <v>13.739000000000001</v>
      </c>
      <c r="K60" s="4"/>
      <c r="L60" s="18">
        <v>13.739000000000001</v>
      </c>
      <c r="M60" s="19" t="s">
        <v>24</v>
      </c>
      <c r="N60" s="19"/>
      <c r="O60" s="20">
        <f t="shared" si="1"/>
        <v>0</v>
      </c>
      <c r="P60" s="20">
        <f t="shared" si="2"/>
        <v>0</v>
      </c>
      <c r="Q60" s="20">
        <f t="shared" si="3"/>
        <v>0</v>
      </c>
      <c r="R60" s="20"/>
      <c r="S60" s="20"/>
    </row>
    <row r="61" spans="1:19" x14ac:dyDescent="0.2">
      <c r="A61" s="21" t="s">
        <v>135</v>
      </c>
      <c r="B61" s="16" t="s">
        <v>136</v>
      </c>
      <c r="C61" s="22" t="str">
        <f t="shared" si="0"/>
        <v>C5ACn/C5ACr</v>
      </c>
      <c r="D61" s="4">
        <v>14.053000000000001</v>
      </c>
      <c r="E61" s="18">
        <v>14.095000000000001</v>
      </c>
      <c r="F61" s="4">
        <v>14.07</v>
      </c>
      <c r="G61" s="18">
        <v>14.07</v>
      </c>
      <c r="H61" s="4"/>
      <c r="I61" s="18"/>
      <c r="J61" s="4">
        <v>14.07</v>
      </c>
      <c r="K61" s="4"/>
      <c r="L61" s="18">
        <v>14.07</v>
      </c>
      <c r="M61" s="19" t="s">
        <v>24</v>
      </c>
      <c r="N61" s="19"/>
      <c r="O61" s="20">
        <f t="shared" si="1"/>
        <v>0</v>
      </c>
      <c r="P61" s="20">
        <f t="shared" si="2"/>
        <v>0</v>
      </c>
      <c r="Q61" s="20">
        <f t="shared" si="3"/>
        <v>0</v>
      </c>
      <c r="R61" s="20"/>
      <c r="S61" s="20"/>
    </row>
    <row r="62" spans="1:19" x14ac:dyDescent="0.2">
      <c r="A62" s="21" t="s">
        <v>137</v>
      </c>
      <c r="B62" s="16" t="s">
        <v>138</v>
      </c>
      <c r="C62" s="22" t="str">
        <f t="shared" si="0"/>
        <v>C5ACr/C5ADn</v>
      </c>
      <c r="D62" s="4">
        <v>14.159000000000001</v>
      </c>
      <c r="E62" s="18">
        <v>14.194000000000001</v>
      </c>
      <c r="F62" s="4">
        <v>14.163</v>
      </c>
      <c r="G62" s="18">
        <v>14.163</v>
      </c>
      <c r="H62" s="4"/>
      <c r="I62" s="18"/>
      <c r="J62" s="4">
        <v>14.163</v>
      </c>
      <c r="K62" s="4"/>
      <c r="L62" s="18">
        <v>14.163</v>
      </c>
      <c r="M62" s="19" t="s">
        <v>24</v>
      </c>
      <c r="N62" s="19"/>
      <c r="O62" s="20">
        <f t="shared" si="1"/>
        <v>0</v>
      </c>
      <c r="P62" s="20">
        <f t="shared" si="2"/>
        <v>0</v>
      </c>
      <c r="Q62" s="20">
        <f t="shared" si="3"/>
        <v>0</v>
      </c>
      <c r="R62" s="20"/>
      <c r="S62" s="20"/>
    </row>
    <row r="63" spans="1:19" x14ac:dyDescent="0.2">
      <c r="A63" s="21" t="s">
        <v>139</v>
      </c>
      <c r="B63" s="16" t="s">
        <v>140</v>
      </c>
      <c r="C63" s="22" t="str">
        <f t="shared" si="0"/>
        <v>C5ADn/C5ADr</v>
      </c>
      <c r="D63" s="4">
        <v>14.606999999999999</v>
      </c>
      <c r="E63" s="18">
        <v>14.581</v>
      </c>
      <c r="F63" s="4">
        <v>14.609</v>
      </c>
      <c r="G63" s="18">
        <v>14.609</v>
      </c>
      <c r="H63" s="4"/>
      <c r="I63" s="18"/>
      <c r="J63" s="4">
        <v>14.609</v>
      </c>
      <c r="K63" s="4"/>
      <c r="L63" s="18">
        <v>14.609</v>
      </c>
      <c r="M63" s="19" t="s">
        <v>24</v>
      </c>
      <c r="N63" s="19"/>
      <c r="O63" s="20">
        <f t="shared" si="1"/>
        <v>0</v>
      </c>
      <c r="P63" s="20">
        <f t="shared" si="2"/>
        <v>0</v>
      </c>
      <c r="Q63" s="20">
        <f t="shared" si="3"/>
        <v>0</v>
      </c>
      <c r="R63" s="20"/>
      <c r="S63" s="20"/>
    </row>
    <row r="64" spans="1:19" x14ac:dyDescent="0.2">
      <c r="A64" s="21" t="s">
        <v>141</v>
      </c>
      <c r="B64" s="16" t="s">
        <v>142</v>
      </c>
      <c r="C64" s="22" t="str">
        <f t="shared" si="0"/>
        <v>C5ADr/C5Bn.1n</v>
      </c>
      <c r="D64" s="4">
        <v>14.8</v>
      </c>
      <c r="E64" s="18">
        <v>14.784000000000001</v>
      </c>
      <c r="F64" s="4">
        <v>14.775</v>
      </c>
      <c r="G64" s="18">
        <v>14.775</v>
      </c>
      <c r="H64" s="4"/>
      <c r="I64" s="18"/>
      <c r="J64" s="4">
        <v>14.775</v>
      </c>
      <c r="K64" s="4"/>
      <c r="L64" s="18">
        <v>14.775</v>
      </c>
      <c r="M64" s="19" t="s">
        <v>24</v>
      </c>
      <c r="N64" s="19"/>
      <c r="O64" s="20">
        <f t="shared" si="1"/>
        <v>0</v>
      </c>
      <c r="P64" s="20">
        <f t="shared" si="2"/>
        <v>0</v>
      </c>
      <c r="Q64" s="20">
        <f t="shared" si="3"/>
        <v>0</v>
      </c>
      <c r="R64" s="20"/>
      <c r="S64" s="20"/>
    </row>
    <row r="65" spans="1:19" x14ac:dyDescent="0.2">
      <c r="A65" s="21" t="s">
        <v>143</v>
      </c>
      <c r="B65" s="16" t="s">
        <v>144</v>
      </c>
      <c r="C65" s="22" t="str">
        <f t="shared" si="0"/>
        <v>C5Bn.1n/C5Bn.1r</v>
      </c>
      <c r="D65" s="4">
        <v>14.888</v>
      </c>
      <c r="E65" s="18">
        <v>14.877000000000001</v>
      </c>
      <c r="F65" s="4">
        <v>14.87</v>
      </c>
      <c r="G65" s="18">
        <v>14.87</v>
      </c>
      <c r="H65" s="4"/>
      <c r="I65" s="18"/>
      <c r="J65" s="4">
        <v>14.87</v>
      </c>
      <c r="K65" s="4"/>
      <c r="L65" s="18">
        <v>14.87</v>
      </c>
      <c r="M65" s="19" t="s">
        <v>24</v>
      </c>
      <c r="N65" s="19"/>
      <c r="O65" s="20">
        <f t="shared" si="1"/>
        <v>0</v>
      </c>
      <c r="P65" s="20">
        <f t="shared" si="2"/>
        <v>0</v>
      </c>
      <c r="Q65" s="20">
        <f t="shared" si="3"/>
        <v>0</v>
      </c>
      <c r="R65" s="20"/>
      <c r="S65" s="20"/>
    </row>
    <row r="66" spans="1:19" x14ac:dyDescent="0.2">
      <c r="A66" s="21" t="s">
        <v>145</v>
      </c>
      <c r="B66" s="16" t="s">
        <v>146</v>
      </c>
      <c r="C66" s="22" t="str">
        <f t="shared" si="0"/>
        <v>C5Bn.1r/C5Bn.2n</v>
      </c>
      <c r="D66" s="4">
        <v>15.034000000000001</v>
      </c>
      <c r="E66" s="18">
        <v>15.032</v>
      </c>
      <c r="F66" s="4">
        <v>15.032</v>
      </c>
      <c r="G66" s="18">
        <v>15.032</v>
      </c>
      <c r="H66" s="4"/>
      <c r="I66" s="18"/>
      <c r="J66" s="4">
        <v>15.04</v>
      </c>
      <c r="K66" s="23" t="s">
        <v>147</v>
      </c>
      <c r="L66" s="18">
        <v>15.032</v>
      </c>
      <c r="M66" s="19" t="s">
        <v>24</v>
      </c>
      <c r="N66" s="19"/>
      <c r="O66" s="20">
        <f t="shared" si="1"/>
        <v>0</v>
      </c>
      <c r="P66" s="20">
        <f t="shared" si="2"/>
        <v>-7.9999999999991189</v>
      </c>
      <c r="Q66" s="20">
        <f t="shared" si="3"/>
        <v>7.9999999999991189</v>
      </c>
      <c r="R66" s="20"/>
      <c r="S66" s="20"/>
    </row>
    <row r="67" spans="1:19" x14ac:dyDescent="0.2">
      <c r="A67" s="21" t="s">
        <v>148</v>
      </c>
      <c r="B67" s="16" t="s">
        <v>149</v>
      </c>
      <c r="C67" s="22" t="str">
        <f t="shared" si="0"/>
        <v>C5Bn.2n/C5Br</v>
      </c>
      <c r="D67" s="4">
        <v>15.154999999999999</v>
      </c>
      <c r="E67" s="18">
        <v>15.16</v>
      </c>
      <c r="F67" s="4">
        <v>15.16</v>
      </c>
      <c r="G67" s="18">
        <v>15.16</v>
      </c>
      <c r="H67" s="4"/>
      <c r="I67" s="18"/>
      <c r="J67" s="4">
        <v>15.186</v>
      </c>
      <c r="K67" s="4"/>
      <c r="L67" s="18">
        <v>15.16</v>
      </c>
      <c r="M67" s="19" t="s">
        <v>24</v>
      </c>
      <c r="N67" s="19"/>
      <c r="O67" s="20">
        <f t="shared" si="1"/>
        <v>0</v>
      </c>
      <c r="P67" s="20">
        <f t="shared" si="2"/>
        <v>-25.999999999999801</v>
      </c>
      <c r="Q67" s="20">
        <f t="shared" si="3"/>
        <v>25.999999999999801</v>
      </c>
      <c r="R67" s="20"/>
      <c r="S67" s="20"/>
    </row>
    <row r="68" spans="1:19" x14ac:dyDescent="0.2">
      <c r="A68" s="21" t="s">
        <v>150</v>
      </c>
      <c r="B68" s="16" t="s">
        <v>151</v>
      </c>
      <c r="C68" s="22" t="str">
        <f t="shared" si="0"/>
        <v>C5Br/C5Cn.1n</v>
      </c>
      <c r="D68" s="4">
        <v>16.013999999999999</v>
      </c>
      <c r="E68" s="18">
        <v>15.974</v>
      </c>
      <c r="F68" s="4">
        <v>15.974</v>
      </c>
      <c r="G68" s="18">
        <v>15.974</v>
      </c>
      <c r="H68" s="4"/>
      <c r="I68" s="18"/>
      <c r="J68" s="4">
        <v>15.994</v>
      </c>
      <c r="K68" s="4"/>
      <c r="L68" s="18">
        <v>15.974</v>
      </c>
      <c r="M68" s="19" t="s">
        <v>24</v>
      </c>
      <c r="N68" s="19"/>
      <c r="O68" s="20">
        <f t="shared" si="1"/>
        <v>0</v>
      </c>
      <c r="P68" s="20">
        <f t="shared" si="2"/>
        <v>-19.999999999999574</v>
      </c>
      <c r="Q68" s="20">
        <f t="shared" si="3"/>
        <v>19.999999999999574</v>
      </c>
      <c r="R68" s="20"/>
      <c r="S68" s="20"/>
    </row>
    <row r="69" spans="1:19" x14ac:dyDescent="0.2">
      <c r="A69" s="21" t="s">
        <v>152</v>
      </c>
      <c r="B69" s="16" t="s">
        <v>153</v>
      </c>
      <c r="C69" s="22" t="str">
        <f t="shared" ref="C69:C108" si="4">A69&amp;"/"&amp;A70</f>
        <v>C5Cn.1n/C5Cn.1r</v>
      </c>
      <c r="D69" s="4">
        <v>16.292999999999999</v>
      </c>
      <c r="E69" s="18">
        <v>16.268000000000001</v>
      </c>
      <c r="F69" s="4">
        <v>16.268000000000001</v>
      </c>
      <c r="G69" s="18">
        <v>16.268000000000001</v>
      </c>
      <c r="H69" s="4"/>
      <c r="I69" s="18"/>
      <c r="J69" s="4">
        <v>16.260999999999999</v>
      </c>
      <c r="K69" s="4"/>
      <c r="L69" s="18">
        <v>16.268000000000001</v>
      </c>
      <c r="M69" s="19" t="s">
        <v>24</v>
      </c>
      <c r="N69" s="19"/>
      <c r="O69" s="20">
        <f t="shared" si="1"/>
        <v>0</v>
      </c>
      <c r="P69" s="20">
        <f t="shared" si="2"/>
        <v>7.0000000000014495</v>
      </c>
      <c r="Q69" s="20">
        <f t="shared" si="3"/>
        <v>-7.0000000000014495</v>
      </c>
      <c r="R69" s="20"/>
      <c r="S69" s="20"/>
    </row>
    <row r="70" spans="1:19" x14ac:dyDescent="0.2">
      <c r="A70" s="21" t="s">
        <v>154</v>
      </c>
      <c r="B70" s="16" t="s">
        <v>155</v>
      </c>
      <c r="C70" s="22" t="str">
        <f t="shared" si="4"/>
        <v>C5Cn.1r/C5Cn.2n</v>
      </c>
      <c r="D70" s="4">
        <v>16.327000000000002</v>
      </c>
      <c r="E70" s="18">
        <v>16.303000000000001</v>
      </c>
      <c r="F70" s="4">
        <v>16.303000000000001</v>
      </c>
      <c r="G70" s="18">
        <v>16.303000000000001</v>
      </c>
      <c r="H70" s="4"/>
      <c r="I70" s="18"/>
      <c r="J70" s="4">
        <v>16.350999999999999</v>
      </c>
      <c r="K70" s="4"/>
      <c r="L70" s="18">
        <v>16.303000000000001</v>
      </c>
      <c r="M70" s="19" t="s">
        <v>24</v>
      </c>
      <c r="N70" s="19"/>
      <c r="O70" s="20">
        <f t="shared" si="1"/>
        <v>0</v>
      </c>
      <c r="P70" s="20">
        <f t="shared" si="2"/>
        <v>-47.999999999998266</v>
      </c>
      <c r="Q70" s="20">
        <f t="shared" si="3"/>
        <v>47.999999999998266</v>
      </c>
      <c r="R70" s="20"/>
      <c r="S70" s="20"/>
    </row>
    <row r="71" spans="1:19" x14ac:dyDescent="0.2">
      <c r="A71" s="21" t="s">
        <v>156</v>
      </c>
      <c r="B71" s="16" t="s">
        <v>157</v>
      </c>
      <c r="C71" s="22" t="str">
        <f t="shared" si="4"/>
        <v>C5Cn.2n/C5Cn.2r</v>
      </c>
      <c r="D71" s="4">
        <v>16.488</v>
      </c>
      <c r="E71" s="18">
        <v>16.472000000000001</v>
      </c>
      <c r="F71" s="4">
        <v>16.472000000000001</v>
      </c>
      <c r="G71" s="18">
        <v>16.472000000000001</v>
      </c>
      <c r="H71" s="4"/>
      <c r="I71" s="18"/>
      <c r="J71" s="4">
        <v>16.434000000000001</v>
      </c>
      <c r="K71" s="4"/>
      <c r="L71" s="18">
        <v>16.472000000000001</v>
      </c>
      <c r="M71" s="19" t="s">
        <v>24</v>
      </c>
      <c r="N71" s="19"/>
      <c r="O71" s="20">
        <f t="shared" si="1"/>
        <v>0</v>
      </c>
      <c r="P71" s="20">
        <f t="shared" si="2"/>
        <v>38.000000000000256</v>
      </c>
      <c r="Q71" s="20">
        <f t="shared" si="3"/>
        <v>-38.000000000000256</v>
      </c>
      <c r="R71" s="20"/>
      <c r="S71" s="20"/>
    </row>
    <row r="72" spans="1:19" x14ac:dyDescent="0.2">
      <c r="A72" s="21" t="s">
        <v>158</v>
      </c>
      <c r="B72" s="16" t="s">
        <v>159</v>
      </c>
      <c r="C72" s="22" t="str">
        <f t="shared" si="4"/>
        <v>C5Cn.2r/C5Cn.3n</v>
      </c>
      <c r="D72" s="4">
        <v>16.556000000000001</v>
      </c>
      <c r="E72" s="18">
        <v>16.542999999999999</v>
      </c>
      <c r="F72" s="4">
        <v>16.542999999999999</v>
      </c>
      <c r="G72" s="18">
        <v>16.542999999999999</v>
      </c>
      <c r="H72" s="4"/>
      <c r="I72" s="18"/>
      <c r="J72" s="4">
        <v>16.532</v>
      </c>
      <c r="K72" s="4"/>
      <c r="L72" s="18">
        <v>16.542999999999999</v>
      </c>
      <c r="M72" s="19" t="s">
        <v>24</v>
      </c>
      <c r="N72" s="19"/>
      <c r="O72" s="20">
        <f t="shared" si="1"/>
        <v>0</v>
      </c>
      <c r="P72" s="20">
        <f t="shared" si="2"/>
        <v>10.999999999999233</v>
      </c>
      <c r="Q72" s="20">
        <f t="shared" si="3"/>
        <v>-10.999999999999233</v>
      </c>
      <c r="R72" s="20"/>
      <c r="S72" s="20"/>
    </row>
    <row r="73" spans="1:19" x14ac:dyDescent="0.2">
      <c r="A73" s="21" t="s">
        <v>160</v>
      </c>
      <c r="B73" s="16" t="s">
        <v>161</v>
      </c>
      <c r="C73" s="22" t="str">
        <f t="shared" si="4"/>
        <v>C5Cn.3n/C5Cr</v>
      </c>
      <c r="D73" s="4">
        <v>16.725999999999999</v>
      </c>
      <c r="E73" s="18">
        <v>16.721</v>
      </c>
      <c r="F73" s="4">
        <v>16.721</v>
      </c>
      <c r="G73" s="18">
        <v>16.721</v>
      </c>
      <c r="H73" s="4"/>
      <c r="I73" s="18"/>
      <c r="J73" s="4">
        <v>16.637</v>
      </c>
      <c r="K73" s="4"/>
      <c r="L73" s="18">
        <v>16.721</v>
      </c>
      <c r="M73" s="19" t="s">
        <v>24</v>
      </c>
      <c r="N73" s="19"/>
      <c r="O73" s="20">
        <f t="shared" si="1"/>
        <v>0</v>
      </c>
      <c r="P73" s="20">
        <f t="shared" si="2"/>
        <v>83.999999999999631</v>
      </c>
      <c r="Q73" s="20">
        <f t="shared" si="3"/>
        <v>-83.999999999999631</v>
      </c>
      <c r="R73" s="20"/>
      <c r="S73" s="20"/>
    </row>
    <row r="74" spans="1:19" x14ac:dyDescent="0.2">
      <c r="A74" s="21" t="s">
        <v>162</v>
      </c>
      <c r="B74" s="16" t="s">
        <v>163</v>
      </c>
      <c r="C74" s="22" t="str">
        <f t="shared" si="4"/>
        <v>C5Cr/C5Dn</v>
      </c>
      <c r="D74" s="4">
        <v>17.277000000000001</v>
      </c>
      <c r="E74" s="18">
        <v>17.234999999999999</v>
      </c>
      <c r="F74" s="4">
        <v>17.234999999999999</v>
      </c>
      <c r="G74" s="18">
        <v>17.234999999999999</v>
      </c>
      <c r="H74" s="4"/>
      <c r="I74" s="18"/>
      <c r="J74" s="4">
        <v>17.154</v>
      </c>
      <c r="K74" s="4"/>
      <c r="L74" s="18">
        <v>17.234999999999999</v>
      </c>
      <c r="M74" s="19" t="s">
        <v>164</v>
      </c>
      <c r="N74" s="19"/>
      <c r="O74" s="20">
        <f t="shared" ref="O74:O108" si="5">(L74-F74)*1000</f>
        <v>0</v>
      </c>
      <c r="P74" s="20">
        <f t="shared" ref="P74:P108" si="6">(L74-J74)*1000</f>
        <v>80.999999999999517</v>
      </c>
      <c r="Q74" s="20">
        <f t="shared" ref="Q74:Q108" si="7">(J74-F74)*1000</f>
        <v>-80.999999999999517</v>
      </c>
      <c r="R74" s="20"/>
      <c r="S74" s="20"/>
    </row>
    <row r="75" spans="1:19" x14ac:dyDescent="0.2">
      <c r="A75" s="21" t="s">
        <v>165</v>
      </c>
      <c r="B75" s="16" t="s">
        <v>166</v>
      </c>
      <c r="C75" s="22" t="str">
        <f t="shared" si="4"/>
        <v>C5Dn/C5Dr.1r</v>
      </c>
      <c r="D75" s="4">
        <v>17.614999999999998</v>
      </c>
      <c r="E75" s="18">
        <v>17.533000000000001</v>
      </c>
      <c r="F75" s="4">
        <v>17.533000000000001</v>
      </c>
      <c r="G75" s="18">
        <v>17.533000000000001</v>
      </c>
      <c r="H75" s="4"/>
      <c r="I75" s="18"/>
      <c r="J75" s="4">
        <v>17.466000000000001</v>
      </c>
      <c r="K75" s="4"/>
      <c r="L75" s="18">
        <v>17.533000000000001</v>
      </c>
      <c r="M75" s="19" t="s">
        <v>164</v>
      </c>
      <c r="N75" s="19"/>
      <c r="O75" s="20">
        <f t="shared" si="5"/>
        <v>0</v>
      </c>
      <c r="P75" s="20">
        <f t="shared" si="6"/>
        <v>67.000000000000171</v>
      </c>
      <c r="Q75" s="20">
        <f t="shared" si="7"/>
        <v>-67.000000000000171</v>
      </c>
      <c r="R75" s="20"/>
      <c r="S75" s="20"/>
    </row>
    <row r="76" spans="1:19" x14ac:dyDescent="0.2">
      <c r="A76" s="21" t="s">
        <v>167</v>
      </c>
      <c r="B76" s="16" t="s">
        <v>168</v>
      </c>
      <c r="C76" s="22" t="str">
        <f t="shared" si="4"/>
        <v>C5Dr.1r/C5Dr.1n</v>
      </c>
      <c r="D76" s="4">
        <v>17.824999999999999</v>
      </c>
      <c r="E76" s="18">
        <v>17.716999999999999</v>
      </c>
      <c r="F76" s="4">
        <v>17.716999999999999</v>
      </c>
      <c r="G76" s="18">
        <v>17.716999999999999</v>
      </c>
      <c r="H76" s="4"/>
      <c r="I76" s="18"/>
      <c r="J76" s="4">
        <v>17.634</v>
      </c>
      <c r="K76" s="4"/>
      <c r="L76" s="18">
        <v>17.716999999999999</v>
      </c>
      <c r="M76" s="19" t="s">
        <v>164</v>
      </c>
      <c r="N76" s="19"/>
      <c r="O76" s="20">
        <f t="shared" si="5"/>
        <v>0</v>
      </c>
      <c r="P76" s="20">
        <f t="shared" si="6"/>
        <v>82.999999999998408</v>
      </c>
      <c r="Q76" s="20">
        <f t="shared" si="7"/>
        <v>-82.999999999998408</v>
      </c>
      <c r="R76" s="20"/>
      <c r="S76" s="20"/>
    </row>
    <row r="77" spans="1:19" x14ac:dyDescent="0.2">
      <c r="A77" s="21" t="s">
        <v>169</v>
      </c>
      <c r="B77" s="16" t="s">
        <v>170</v>
      </c>
      <c r="C77" s="22" t="str">
        <f t="shared" si="4"/>
        <v>C5Dr.1n/C5Dr.2r</v>
      </c>
      <c r="D77" s="4">
        <v>17.853000000000002</v>
      </c>
      <c r="E77" s="18">
        <v>17.739999999999998</v>
      </c>
      <c r="F77" s="4">
        <v>17.739999999999998</v>
      </c>
      <c r="G77" s="18">
        <v>17.739999999999998</v>
      </c>
      <c r="H77" s="4"/>
      <c r="I77" s="18"/>
      <c r="J77" s="4">
        <v>17.675999999999998</v>
      </c>
      <c r="K77" s="4"/>
      <c r="L77" s="18">
        <v>17.739999999999998</v>
      </c>
      <c r="M77" s="19" t="s">
        <v>164</v>
      </c>
      <c r="N77" s="19"/>
      <c r="O77" s="20">
        <f t="shared" si="5"/>
        <v>0</v>
      </c>
      <c r="P77" s="20">
        <f t="shared" si="6"/>
        <v>64.000000000000057</v>
      </c>
      <c r="Q77" s="20">
        <f t="shared" si="7"/>
        <v>-64.000000000000057</v>
      </c>
      <c r="R77" s="20"/>
      <c r="S77" s="20"/>
    </row>
    <row r="78" spans="1:19" x14ac:dyDescent="0.2">
      <c r="A78" s="21" t="s">
        <v>171</v>
      </c>
      <c r="B78" s="16" t="s">
        <v>172</v>
      </c>
      <c r="C78" s="22" t="str">
        <f t="shared" si="4"/>
        <v>C5Dr.2r/C5En</v>
      </c>
      <c r="D78" s="4">
        <v>18.280999999999999</v>
      </c>
      <c r="E78" s="18">
        <v>18.056000000000001</v>
      </c>
      <c r="F78" s="4">
        <v>18.056000000000001</v>
      </c>
      <c r="G78" s="18">
        <v>18.056000000000001</v>
      </c>
      <c r="H78" s="4"/>
      <c r="I78" s="18"/>
      <c r="J78" s="33">
        <v>18.007000000000001</v>
      </c>
      <c r="K78" s="23" t="s">
        <v>173</v>
      </c>
      <c r="L78" s="18">
        <v>18.056000000000001</v>
      </c>
      <c r="M78" s="19" t="s">
        <v>164</v>
      </c>
      <c r="N78" s="19"/>
      <c r="O78" s="20">
        <f t="shared" si="5"/>
        <v>0</v>
      </c>
      <c r="P78" s="20">
        <f t="shared" si="6"/>
        <v>48.999999999999488</v>
      </c>
      <c r="Q78" s="20">
        <f t="shared" si="7"/>
        <v>-48.999999999999488</v>
      </c>
      <c r="R78" s="20"/>
      <c r="S78" s="20"/>
    </row>
    <row r="79" spans="1:19" x14ac:dyDescent="0.2">
      <c r="A79" s="21" t="s">
        <v>174</v>
      </c>
      <c r="B79" s="16" t="s">
        <v>175</v>
      </c>
      <c r="C79" s="22" t="str">
        <f t="shared" si="4"/>
        <v>C5En/C5Er</v>
      </c>
      <c r="D79" s="4">
        <v>18.780999999999999</v>
      </c>
      <c r="E79" s="18">
        <v>18.524000000000001</v>
      </c>
      <c r="F79" s="4">
        <v>18.524000000000001</v>
      </c>
      <c r="G79" s="18">
        <v>18.524000000000001</v>
      </c>
      <c r="H79" s="4"/>
      <c r="I79" s="18"/>
      <c r="J79" s="23">
        <v>18.497</v>
      </c>
      <c r="K79" s="23" t="s">
        <v>176</v>
      </c>
      <c r="L79" s="18">
        <v>18.524000000000001</v>
      </c>
      <c r="M79" s="19" t="s">
        <v>164</v>
      </c>
      <c r="N79" s="19"/>
      <c r="O79" s="20">
        <f t="shared" si="5"/>
        <v>0</v>
      </c>
      <c r="P79" s="20">
        <f t="shared" si="6"/>
        <v>27.000000000001023</v>
      </c>
      <c r="Q79" s="20">
        <f t="shared" si="7"/>
        <v>-27.000000000001023</v>
      </c>
      <c r="R79" s="20"/>
      <c r="S79" s="20"/>
    </row>
    <row r="80" spans="1:19" x14ac:dyDescent="0.2">
      <c r="A80" s="21" t="s">
        <v>177</v>
      </c>
      <c r="B80" s="16" t="s">
        <v>178</v>
      </c>
      <c r="C80" s="22" t="str">
        <f t="shared" si="4"/>
        <v>C5Er/C6n</v>
      </c>
      <c r="D80" s="4">
        <v>19.047999999999998</v>
      </c>
      <c r="E80" s="18">
        <v>18.748000000000001</v>
      </c>
      <c r="F80" s="4">
        <v>18.748000000000001</v>
      </c>
      <c r="G80" s="18">
        <v>18.748000000000001</v>
      </c>
      <c r="H80" s="4"/>
      <c r="I80" s="18"/>
      <c r="J80" s="23">
        <v>18.635999999999999</v>
      </c>
      <c r="K80" s="23"/>
      <c r="L80" s="18">
        <v>18.748000000000001</v>
      </c>
      <c r="M80" s="19" t="s">
        <v>164</v>
      </c>
      <c r="N80" s="19"/>
      <c r="O80" s="20">
        <f t="shared" si="5"/>
        <v>0</v>
      </c>
      <c r="P80" s="20">
        <f t="shared" si="6"/>
        <v>112.00000000000188</v>
      </c>
      <c r="Q80" s="20">
        <f t="shared" si="7"/>
        <v>-112.00000000000188</v>
      </c>
      <c r="R80" s="20"/>
      <c r="S80" s="20"/>
    </row>
    <row r="81" spans="1:19" s="42" customFormat="1" x14ac:dyDescent="0.2">
      <c r="A81" s="34" t="s">
        <v>179</v>
      </c>
      <c r="B81" s="35" t="s">
        <v>180</v>
      </c>
      <c r="C81" s="36" t="str">
        <f t="shared" si="4"/>
        <v>C6n/C6r</v>
      </c>
      <c r="D81" s="37">
        <v>20.131</v>
      </c>
      <c r="E81" s="38">
        <v>19.722000000000001</v>
      </c>
      <c r="F81" s="37">
        <v>19.722000000000001</v>
      </c>
      <c r="G81" s="38">
        <v>19.722000000000001</v>
      </c>
      <c r="H81" s="37"/>
      <c r="I81" s="38"/>
      <c r="J81" s="39">
        <v>19.535</v>
      </c>
      <c r="K81" s="39"/>
      <c r="L81" s="38">
        <v>19.726512</v>
      </c>
      <c r="M81" s="40" t="s">
        <v>181</v>
      </c>
      <c r="N81" s="40" t="s">
        <v>182</v>
      </c>
      <c r="O81" s="41">
        <f t="shared" si="5"/>
        <v>4.5119999999982952</v>
      </c>
      <c r="P81" s="41">
        <f t="shared" si="6"/>
        <v>191.51199999999946</v>
      </c>
      <c r="Q81" s="41">
        <f t="shared" si="7"/>
        <v>-187.00000000000117</v>
      </c>
      <c r="R81" s="41"/>
      <c r="S81" s="41"/>
    </row>
    <row r="82" spans="1:19" x14ac:dyDescent="0.2">
      <c r="A82" s="21" t="s">
        <v>183</v>
      </c>
      <c r="B82" s="16" t="s">
        <v>184</v>
      </c>
      <c r="C82" s="22" t="str">
        <f t="shared" si="4"/>
        <v>C6r/C6An.1n</v>
      </c>
      <c r="D82" s="4">
        <v>20.518000000000001</v>
      </c>
      <c r="E82" s="18">
        <v>20.04</v>
      </c>
      <c r="F82" s="4">
        <v>20.04</v>
      </c>
      <c r="G82" s="18">
        <v>20.04</v>
      </c>
      <c r="H82" s="4"/>
      <c r="I82" s="18"/>
      <c r="J82" s="23">
        <v>19.978999999999999</v>
      </c>
      <c r="K82" s="23"/>
      <c r="L82" s="18">
        <v>20.100332999999999</v>
      </c>
      <c r="M82" s="19" t="s">
        <v>181</v>
      </c>
      <c r="N82" s="19" t="s">
        <v>182</v>
      </c>
      <c r="O82" s="20">
        <f t="shared" si="5"/>
        <v>60.33299999999997</v>
      </c>
      <c r="P82" s="20">
        <f t="shared" si="6"/>
        <v>121.33299999999991</v>
      </c>
      <c r="Q82" s="20">
        <f t="shared" si="7"/>
        <v>-60.999999999999943</v>
      </c>
      <c r="R82" s="20"/>
      <c r="S82" s="20"/>
    </row>
    <row r="83" spans="1:19" x14ac:dyDescent="0.2">
      <c r="A83" s="21" t="s">
        <v>185</v>
      </c>
      <c r="B83" s="16" t="s">
        <v>186</v>
      </c>
      <c r="C83" s="22" t="str">
        <f t="shared" si="4"/>
        <v>C6An.1n/C6An.1r</v>
      </c>
      <c r="D83" s="4">
        <v>20.725000000000001</v>
      </c>
      <c r="E83" s="18">
        <v>20.213000000000001</v>
      </c>
      <c r="F83" s="4">
        <v>20.213000000000001</v>
      </c>
      <c r="G83" s="18">
        <v>20.213000000000001</v>
      </c>
      <c r="H83" s="4"/>
      <c r="I83" s="18"/>
      <c r="J83" s="23">
        <v>20.181999999999999</v>
      </c>
      <c r="K83" s="23" t="s">
        <v>173</v>
      </c>
      <c r="L83" s="18">
        <v>20.236488999999999</v>
      </c>
      <c r="M83" s="19" t="s">
        <v>181</v>
      </c>
      <c r="N83" s="19" t="s">
        <v>182</v>
      </c>
      <c r="O83" s="20">
        <f t="shared" si="5"/>
        <v>23.488999999997873</v>
      </c>
      <c r="P83" s="20">
        <f t="shared" si="6"/>
        <v>54.489000000000232</v>
      </c>
      <c r="Q83" s="20">
        <f t="shared" si="7"/>
        <v>-31.000000000002359</v>
      </c>
      <c r="R83" s="20"/>
      <c r="S83" s="20"/>
    </row>
    <row r="84" spans="1:19" x14ac:dyDescent="0.2">
      <c r="A84" s="21" t="s">
        <v>187</v>
      </c>
      <c r="B84" s="16" t="s">
        <v>188</v>
      </c>
      <c r="C84" s="22" t="str">
        <f t="shared" si="4"/>
        <v>C6An.1r/C6An.2n</v>
      </c>
      <c r="D84" s="4">
        <v>20.995999999999999</v>
      </c>
      <c r="E84" s="18">
        <v>20.439</v>
      </c>
      <c r="F84" s="4">
        <v>20.439</v>
      </c>
      <c r="G84" s="18">
        <v>20.439</v>
      </c>
      <c r="H84" s="4"/>
      <c r="I84" s="18"/>
      <c r="J84" s="23">
        <v>20.448</v>
      </c>
      <c r="K84" s="23"/>
      <c r="L84" s="18">
        <v>20.406721999999998</v>
      </c>
      <c r="M84" s="19" t="s">
        <v>181</v>
      </c>
      <c r="N84" s="19" t="s">
        <v>182</v>
      </c>
      <c r="O84" s="20">
        <f t="shared" si="5"/>
        <v>-32.278000000001583</v>
      </c>
      <c r="P84" s="20">
        <f t="shared" si="6"/>
        <v>-41.278000000001924</v>
      </c>
      <c r="Q84" s="20">
        <f t="shared" si="7"/>
        <v>9.0000000000003411</v>
      </c>
      <c r="R84" s="20"/>
      <c r="S84" s="20"/>
    </row>
    <row r="85" spans="1:19" x14ac:dyDescent="0.2">
      <c r="A85" s="21" t="s">
        <v>189</v>
      </c>
      <c r="B85" s="16" t="s">
        <v>190</v>
      </c>
      <c r="C85" s="22" t="str">
        <f t="shared" si="4"/>
        <v>C6An.2n/C6Ar</v>
      </c>
      <c r="D85" s="4">
        <v>21.32</v>
      </c>
      <c r="E85" s="18">
        <v>20.709</v>
      </c>
      <c r="F85" s="4">
        <v>20.709</v>
      </c>
      <c r="G85" s="18">
        <v>20.709</v>
      </c>
      <c r="H85" s="4"/>
      <c r="I85" s="18"/>
      <c r="J85" s="23">
        <v>20.765000000000001</v>
      </c>
      <c r="K85" s="23" t="s">
        <v>176</v>
      </c>
      <c r="L85" s="18">
        <v>20.672937999999998</v>
      </c>
      <c r="M85" s="19" t="s">
        <v>181</v>
      </c>
      <c r="N85" s="19" t="s">
        <v>182</v>
      </c>
      <c r="O85" s="20">
        <f t="shared" si="5"/>
        <v>-36.062000000001149</v>
      </c>
      <c r="P85" s="20">
        <f t="shared" si="6"/>
        <v>-92.062000000002087</v>
      </c>
      <c r="Q85" s="20">
        <f t="shared" si="7"/>
        <v>56.000000000000938</v>
      </c>
      <c r="R85" s="20"/>
      <c r="S85" s="20"/>
    </row>
    <row r="86" spans="1:19" x14ac:dyDescent="0.2">
      <c r="A86" s="21" t="s">
        <v>191</v>
      </c>
      <c r="B86" s="16" t="s">
        <v>192</v>
      </c>
      <c r="C86" s="22" t="str">
        <f t="shared" si="4"/>
        <v>C6Ar/C6AAn</v>
      </c>
      <c r="D86" s="4">
        <v>21.768000000000001</v>
      </c>
      <c r="E86" s="18">
        <v>21.082999999999998</v>
      </c>
      <c r="F86" s="4">
        <v>21.082999999999998</v>
      </c>
      <c r="G86" s="18">
        <v>21.082999999999998</v>
      </c>
      <c r="H86" s="4"/>
      <c r="I86" s="18"/>
      <c r="J86" s="23">
        <v>21.13</v>
      </c>
      <c r="K86" s="23" t="s">
        <v>173</v>
      </c>
      <c r="L86" s="18">
        <v>21.058230999999999</v>
      </c>
      <c r="M86" s="19" t="s">
        <v>181</v>
      </c>
      <c r="N86" s="19" t="s">
        <v>182</v>
      </c>
      <c r="O86" s="20">
        <f t="shared" si="5"/>
        <v>-24.768999999999153</v>
      </c>
      <c r="P86" s="20">
        <f t="shared" si="6"/>
        <v>-71.76899999999975</v>
      </c>
      <c r="Q86" s="20">
        <f t="shared" si="7"/>
        <v>47.000000000000597</v>
      </c>
      <c r="R86" s="20"/>
      <c r="S86" s="20"/>
    </row>
    <row r="87" spans="1:19" x14ac:dyDescent="0.2">
      <c r="A87" s="21" t="s">
        <v>193</v>
      </c>
      <c r="B87" s="16" t="s">
        <v>194</v>
      </c>
      <c r="C87" s="22" t="str">
        <f t="shared" si="4"/>
        <v>C6AAn/C6AAr.1r</v>
      </c>
      <c r="D87" s="4">
        <v>21.859000000000002</v>
      </c>
      <c r="E87" s="18">
        <v>21.158999999999999</v>
      </c>
      <c r="F87" s="4">
        <v>21.158999999999999</v>
      </c>
      <c r="G87" s="18">
        <v>21.158999999999999</v>
      </c>
      <c r="H87" s="4"/>
      <c r="I87" s="18"/>
      <c r="J87" s="23">
        <v>21.204000000000001</v>
      </c>
      <c r="K87" s="23"/>
      <c r="L87" s="18">
        <v>21.202072000000001</v>
      </c>
      <c r="M87" s="19" t="s">
        <v>181</v>
      </c>
      <c r="N87" s="19" t="s">
        <v>182</v>
      </c>
      <c r="O87" s="20">
        <f t="shared" si="5"/>
        <v>43.07200000000222</v>
      </c>
      <c r="P87" s="20">
        <f t="shared" si="6"/>
        <v>-1.9279999999994857</v>
      </c>
      <c r="Q87" s="20">
        <f t="shared" si="7"/>
        <v>45.000000000001705</v>
      </c>
      <c r="R87" s="20"/>
      <c r="S87" s="20"/>
    </row>
    <row r="88" spans="1:19" x14ac:dyDescent="0.2">
      <c r="A88" s="21" t="s">
        <v>195</v>
      </c>
      <c r="B88" s="16" t="s">
        <v>196</v>
      </c>
      <c r="C88" s="22" t="str">
        <f t="shared" si="4"/>
        <v>C6AAr.1r/C6AAr.1n</v>
      </c>
      <c r="D88" s="4">
        <v>22.151</v>
      </c>
      <c r="E88" s="18">
        <v>21.402999999999999</v>
      </c>
      <c r="F88" s="4">
        <v>21.402999999999999</v>
      </c>
      <c r="G88" s="18">
        <v>21.402999999999999</v>
      </c>
      <c r="H88" s="4"/>
      <c r="I88" s="18"/>
      <c r="J88" s="23">
        <v>21.440999999999999</v>
      </c>
      <c r="K88" s="23"/>
      <c r="L88" s="18">
        <v>21.487524000000001</v>
      </c>
      <c r="M88" s="19" t="s">
        <v>181</v>
      </c>
      <c r="N88" s="19" t="s">
        <v>182</v>
      </c>
      <c r="O88" s="20">
        <f t="shared" si="5"/>
        <v>84.52400000000182</v>
      </c>
      <c r="P88" s="20">
        <f t="shared" si="6"/>
        <v>46.524000000001564</v>
      </c>
      <c r="Q88" s="20">
        <f t="shared" si="7"/>
        <v>38.000000000000256</v>
      </c>
      <c r="R88" s="20"/>
      <c r="S88" s="20"/>
    </row>
    <row r="89" spans="1:19" x14ac:dyDescent="0.2">
      <c r="A89" s="21" t="s">
        <v>197</v>
      </c>
      <c r="B89" s="16" t="s">
        <v>198</v>
      </c>
      <c r="C89" s="22" t="str">
        <f t="shared" si="4"/>
        <v>C6AAr.1n/C6AAr.2r</v>
      </c>
      <c r="D89" s="4">
        <v>22.248000000000001</v>
      </c>
      <c r="E89" s="18">
        <v>21.483000000000001</v>
      </c>
      <c r="F89" s="4">
        <v>21.483000000000001</v>
      </c>
      <c r="G89" s="18">
        <v>21.483000000000001</v>
      </c>
      <c r="H89" s="4"/>
      <c r="I89" s="18"/>
      <c r="J89" s="23">
        <v>21.518999999999998</v>
      </c>
      <c r="K89" s="23"/>
      <c r="L89" s="18">
        <v>21.544360000000001</v>
      </c>
      <c r="M89" s="19" t="s">
        <v>181</v>
      </c>
      <c r="N89" s="19" t="s">
        <v>182</v>
      </c>
      <c r="O89" s="20">
        <f t="shared" si="5"/>
        <v>61.360000000000525</v>
      </c>
      <c r="P89" s="20">
        <f t="shared" si="6"/>
        <v>25.360000000002714</v>
      </c>
      <c r="Q89" s="20">
        <f t="shared" si="7"/>
        <v>35.999999999997812</v>
      </c>
      <c r="R89" s="20"/>
      <c r="S89" s="20"/>
    </row>
    <row r="90" spans="1:19" x14ac:dyDescent="0.2">
      <c r="A90" s="21" t="s">
        <v>199</v>
      </c>
      <c r="B90" s="16" t="s">
        <v>200</v>
      </c>
      <c r="C90" s="22" t="str">
        <f t="shared" si="4"/>
        <v>C6AAr.2r/C6AAr.2n</v>
      </c>
      <c r="D90" s="4">
        <v>22.459</v>
      </c>
      <c r="E90" s="18">
        <v>21.658999999999999</v>
      </c>
      <c r="F90" s="4">
        <v>21.658999999999999</v>
      </c>
      <c r="G90" s="18">
        <v>21.658999999999999</v>
      </c>
      <c r="H90" s="4"/>
      <c r="I90" s="18"/>
      <c r="J90" s="23">
        <v>21.690999999999999</v>
      </c>
      <c r="K90" s="23" t="s">
        <v>176</v>
      </c>
      <c r="L90" s="18">
        <v>21.687864000000001</v>
      </c>
      <c r="M90" s="19" t="s">
        <v>181</v>
      </c>
      <c r="N90" s="19" t="s">
        <v>182</v>
      </c>
      <c r="O90" s="20">
        <f t="shared" si="5"/>
        <v>28.864000000002221</v>
      </c>
      <c r="P90" s="20">
        <f t="shared" si="6"/>
        <v>-3.1359999999978072</v>
      </c>
      <c r="Q90" s="20">
        <f t="shared" si="7"/>
        <v>32.000000000000028</v>
      </c>
      <c r="R90" s="20"/>
      <c r="S90" s="20"/>
    </row>
    <row r="91" spans="1:19" x14ac:dyDescent="0.2">
      <c r="A91" s="21" t="s">
        <v>201</v>
      </c>
      <c r="B91" s="16" t="s">
        <v>202</v>
      </c>
      <c r="C91" s="22" t="str">
        <f t="shared" si="4"/>
        <v>C6AAr.2n/C6AAr.3r</v>
      </c>
      <c r="D91" s="4">
        <v>22.492999999999999</v>
      </c>
      <c r="E91" s="18">
        <v>21.687999999999999</v>
      </c>
      <c r="F91" s="4">
        <v>21.687999999999999</v>
      </c>
      <c r="G91" s="18">
        <v>21.687999999999999</v>
      </c>
      <c r="H91" s="4"/>
      <c r="I91" s="18"/>
      <c r="J91" s="23">
        <v>21.722000000000001</v>
      </c>
      <c r="K91" s="23" t="s">
        <v>173</v>
      </c>
      <c r="L91" s="18">
        <v>21.73272</v>
      </c>
      <c r="M91" s="19" t="s">
        <v>181</v>
      </c>
      <c r="N91" s="19" t="s">
        <v>182</v>
      </c>
      <c r="O91" s="20">
        <f t="shared" si="5"/>
        <v>44.720000000001647</v>
      </c>
      <c r="P91" s="20">
        <f t="shared" si="6"/>
        <v>10.719999999999175</v>
      </c>
      <c r="Q91" s="20">
        <f t="shared" si="7"/>
        <v>34.000000000002473</v>
      </c>
      <c r="R91" s="20"/>
      <c r="S91" s="20"/>
    </row>
    <row r="92" spans="1:19" x14ac:dyDescent="0.2">
      <c r="A92" s="21" t="s">
        <v>203</v>
      </c>
      <c r="B92" s="16" t="s">
        <v>204</v>
      </c>
      <c r="C92" s="22" t="str">
        <f t="shared" si="4"/>
        <v>C6AAr.3r/C6Bn.1n</v>
      </c>
      <c r="D92" s="4">
        <v>22.588000000000001</v>
      </c>
      <c r="E92" s="18">
        <v>21.766999999999999</v>
      </c>
      <c r="F92" s="4">
        <v>21.766999999999999</v>
      </c>
      <c r="G92" s="18">
        <v>21.766999999999999</v>
      </c>
      <c r="H92" s="4"/>
      <c r="I92" s="18"/>
      <c r="J92" s="23">
        <v>21.806000000000001</v>
      </c>
      <c r="K92" s="23"/>
      <c r="L92" s="18">
        <v>21.785632</v>
      </c>
      <c r="M92" s="19" t="s">
        <v>181</v>
      </c>
      <c r="N92" s="19" t="s">
        <v>182</v>
      </c>
      <c r="O92" s="20">
        <f t="shared" si="5"/>
        <v>18.632000000000204</v>
      </c>
      <c r="P92" s="20">
        <f t="shared" si="6"/>
        <v>-20.368000000001274</v>
      </c>
      <c r="Q92" s="20">
        <f t="shared" si="7"/>
        <v>39.000000000001478</v>
      </c>
      <c r="R92" s="20"/>
      <c r="S92" s="20"/>
    </row>
    <row r="93" spans="1:19" x14ac:dyDescent="0.2">
      <c r="A93" s="21" t="s">
        <v>205</v>
      </c>
      <c r="B93" s="16" t="s">
        <v>206</v>
      </c>
      <c r="C93" s="22" t="str">
        <f t="shared" si="4"/>
        <v>C6Bn.1n/C6Bn.1r</v>
      </c>
      <c r="D93" s="4">
        <v>22.75</v>
      </c>
      <c r="E93" s="18">
        <v>21.936</v>
      </c>
      <c r="F93" s="4">
        <v>21.936</v>
      </c>
      <c r="G93" s="18">
        <v>21.936</v>
      </c>
      <c r="H93" s="4"/>
      <c r="I93" s="18">
        <v>21.984999999999999</v>
      </c>
      <c r="J93" s="33">
        <v>21.984999999999999</v>
      </c>
      <c r="K93" s="23" t="s">
        <v>207</v>
      </c>
      <c r="L93" s="18">
        <v>21.99099</v>
      </c>
      <c r="M93" s="19" t="s">
        <v>181</v>
      </c>
      <c r="N93" s="19" t="s">
        <v>182</v>
      </c>
      <c r="O93" s="20">
        <f t="shared" si="5"/>
        <v>54.990000000000094</v>
      </c>
      <c r="P93" s="20">
        <f t="shared" si="6"/>
        <v>5.990000000000606</v>
      </c>
      <c r="Q93" s="20">
        <f t="shared" si="7"/>
        <v>48.999999999999488</v>
      </c>
      <c r="R93" s="20"/>
      <c r="S93" s="20">
        <f>(L93-I93)*1000</f>
        <v>5.990000000000606</v>
      </c>
    </row>
    <row r="94" spans="1:19" x14ac:dyDescent="0.2">
      <c r="A94" s="21" t="s">
        <v>208</v>
      </c>
      <c r="B94" s="16" t="s">
        <v>209</v>
      </c>
      <c r="C94" s="22" t="str">
        <f t="shared" si="4"/>
        <v>C6Bn.1r/C6Bn.2n</v>
      </c>
      <c r="D94" s="4">
        <v>22.803999999999998</v>
      </c>
      <c r="E94" s="18">
        <v>21.992000000000001</v>
      </c>
      <c r="F94" s="4">
        <v>21.992000000000001</v>
      </c>
      <c r="G94" s="18">
        <v>21.992000000000001</v>
      </c>
      <c r="H94" s="4"/>
      <c r="I94" s="18">
        <v>22.042000000000002</v>
      </c>
      <c r="J94" s="33">
        <v>22.042000000000002</v>
      </c>
      <c r="K94" s="33"/>
      <c r="L94" s="18">
        <v>22.050087000000001</v>
      </c>
      <c r="M94" s="19" t="s">
        <v>181</v>
      </c>
      <c r="N94" s="19" t="s">
        <v>182</v>
      </c>
      <c r="O94" s="20">
        <f t="shared" si="5"/>
        <v>58.087000000000444</v>
      </c>
      <c r="P94" s="20">
        <f t="shared" si="6"/>
        <v>8.0869999999997333</v>
      </c>
      <c r="Q94" s="20">
        <f t="shared" si="7"/>
        <v>50.000000000000711</v>
      </c>
      <c r="R94" s="20"/>
      <c r="S94" s="20">
        <f t="shared" ref="S94:S104" si="8">(L94-I94)*1000</f>
        <v>8.0869999999997333</v>
      </c>
    </row>
    <row r="95" spans="1:19" x14ac:dyDescent="0.2">
      <c r="A95" s="21" t="s">
        <v>210</v>
      </c>
      <c r="B95" s="16" t="s">
        <v>211</v>
      </c>
      <c r="C95" s="22" t="str">
        <f t="shared" si="4"/>
        <v>C6Bn.2n/C6Br</v>
      </c>
      <c r="D95" s="4">
        <v>23.068999999999999</v>
      </c>
      <c r="E95" s="18">
        <v>22.268000000000001</v>
      </c>
      <c r="F95" s="4">
        <v>22.268000000000001</v>
      </c>
      <c r="G95" s="18">
        <v>22.268000000000001</v>
      </c>
      <c r="H95" s="4">
        <v>22.3</v>
      </c>
      <c r="I95" s="18">
        <v>22.341999999999999</v>
      </c>
      <c r="J95" s="33">
        <v>22.341999999999999</v>
      </c>
      <c r="K95" s="33"/>
      <c r="L95" s="18">
        <v>22.312954000000001</v>
      </c>
      <c r="M95" s="19" t="s">
        <v>181</v>
      </c>
      <c r="N95" s="19" t="s">
        <v>182</v>
      </c>
      <c r="O95" s="20">
        <f t="shared" si="5"/>
        <v>44.954000000000605</v>
      </c>
      <c r="P95" s="20">
        <f t="shared" si="6"/>
        <v>-29.045999999997463</v>
      </c>
      <c r="Q95" s="20">
        <f t="shared" si="7"/>
        <v>73.999999999998067</v>
      </c>
      <c r="R95" s="20">
        <f>(L95-H95)*1000</f>
        <v>12.954000000000576</v>
      </c>
      <c r="S95" s="20">
        <f t="shared" si="8"/>
        <v>-29.045999999997463</v>
      </c>
    </row>
    <row r="96" spans="1:19" x14ac:dyDescent="0.2">
      <c r="A96" s="21" t="s">
        <v>212</v>
      </c>
      <c r="B96" s="16" t="s">
        <v>213</v>
      </c>
      <c r="C96" s="22" t="str">
        <f t="shared" si="4"/>
        <v>C6Br/C6Cn.1n</v>
      </c>
      <c r="D96" s="4">
        <v>23.353000000000002</v>
      </c>
      <c r="E96" s="18">
        <v>22.564</v>
      </c>
      <c r="F96" s="4">
        <v>22.564</v>
      </c>
      <c r="G96" s="18">
        <v>22.564</v>
      </c>
      <c r="H96" s="4">
        <v>22.608000000000001</v>
      </c>
      <c r="I96" s="18">
        <v>22.620999999999999</v>
      </c>
      <c r="J96" s="33">
        <v>22.620999999999999</v>
      </c>
      <c r="K96" s="33"/>
      <c r="L96" s="18">
        <v>22.626469</v>
      </c>
      <c r="M96" s="19" t="s">
        <v>181</v>
      </c>
      <c r="N96" s="19" t="s">
        <v>182</v>
      </c>
      <c r="O96" s="20">
        <f t="shared" si="5"/>
        <v>62.469000000000108</v>
      </c>
      <c r="P96" s="20">
        <f t="shared" si="6"/>
        <v>5.4690000000015004</v>
      </c>
      <c r="Q96" s="20">
        <f t="shared" si="7"/>
        <v>56.999999999998607</v>
      </c>
      <c r="R96" s="20">
        <f t="shared" ref="R96:R101" si="9">(L96-H96)*1000</f>
        <v>18.468999999999625</v>
      </c>
      <c r="S96" s="20">
        <f t="shared" si="8"/>
        <v>5.4690000000015004</v>
      </c>
    </row>
    <row r="97" spans="1:19" x14ac:dyDescent="0.2">
      <c r="A97" s="21" t="s">
        <v>214</v>
      </c>
      <c r="B97" s="16" t="s">
        <v>215</v>
      </c>
      <c r="C97" s="22" t="str">
        <f t="shared" si="4"/>
        <v>C6Cn.1n/C6Cn.1r</v>
      </c>
      <c r="D97" s="4">
        <v>23.535</v>
      </c>
      <c r="E97" s="18">
        <v>22.754000000000001</v>
      </c>
      <c r="F97" s="4">
        <v>22.754000000000001</v>
      </c>
      <c r="G97" s="18">
        <v>22.754000000000001</v>
      </c>
      <c r="H97" s="4">
        <v>22.76</v>
      </c>
      <c r="I97" s="18">
        <v>22.792000000000002</v>
      </c>
      <c r="J97" s="33">
        <v>22.792000000000002</v>
      </c>
      <c r="K97" s="33"/>
      <c r="L97" s="18">
        <v>22.794326000000002</v>
      </c>
      <c r="M97" s="19" t="s">
        <v>181</v>
      </c>
      <c r="N97" s="19" t="s">
        <v>182</v>
      </c>
      <c r="O97" s="20">
        <f t="shared" si="5"/>
        <v>40.326000000000306</v>
      </c>
      <c r="P97" s="20">
        <f t="shared" si="6"/>
        <v>2.3260000000000502</v>
      </c>
      <c r="Q97" s="20">
        <f t="shared" si="7"/>
        <v>38.000000000000256</v>
      </c>
      <c r="R97" s="20">
        <f t="shared" si="9"/>
        <v>34.326000000000079</v>
      </c>
      <c r="S97" s="20">
        <f t="shared" si="8"/>
        <v>2.3260000000000502</v>
      </c>
    </row>
    <row r="98" spans="1:19" x14ac:dyDescent="0.2">
      <c r="A98" s="21" t="s">
        <v>216</v>
      </c>
      <c r="B98" s="16" t="s">
        <v>217</v>
      </c>
      <c r="C98" s="22" t="str">
        <f t="shared" si="4"/>
        <v>C6Cn.1r/C6Cn.2n</v>
      </c>
      <c r="D98" s="4">
        <v>23.677</v>
      </c>
      <c r="E98" s="18">
        <v>22.902000000000001</v>
      </c>
      <c r="F98" s="4">
        <v>22.902000000000001</v>
      </c>
      <c r="G98" s="18">
        <v>22.902000000000001</v>
      </c>
      <c r="H98" s="4">
        <v>22.943999999999999</v>
      </c>
      <c r="I98" s="18">
        <v>22.972999999999999</v>
      </c>
      <c r="J98" s="33">
        <v>22.972999999999999</v>
      </c>
      <c r="K98" s="33"/>
      <c r="L98" s="18">
        <v>22.957353000000001</v>
      </c>
      <c r="M98" s="19" t="s">
        <v>181</v>
      </c>
      <c r="N98" s="19" t="s">
        <v>182</v>
      </c>
      <c r="O98" s="20">
        <f t="shared" si="5"/>
        <v>55.353000000000208</v>
      </c>
      <c r="P98" s="20">
        <f t="shared" si="6"/>
        <v>-15.646999999997746</v>
      </c>
      <c r="Q98" s="20">
        <f t="shared" si="7"/>
        <v>70.999999999997954</v>
      </c>
      <c r="R98" s="20">
        <f t="shared" si="9"/>
        <v>13.353000000002169</v>
      </c>
      <c r="S98" s="20">
        <f t="shared" si="8"/>
        <v>-15.646999999997746</v>
      </c>
    </row>
    <row r="99" spans="1:19" x14ac:dyDescent="0.2">
      <c r="A99" s="21" t="s">
        <v>218</v>
      </c>
      <c r="B99" s="16" t="s">
        <v>219</v>
      </c>
      <c r="C99" s="22" t="str">
        <f t="shared" si="4"/>
        <v>C6Cn.2n/C6Cn.2r</v>
      </c>
      <c r="D99" s="4">
        <v>23.8</v>
      </c>
      <c r="E99" s="18"/>
      <c r="F99" s="4">
        <v>23.03</v>
      </c>
      <c r="G99" s="18">
        <v>23.03</v>
      </c>
      <c r="H99" s="4">
        <v>23.052</v>
      </c>
      <c r="I99" s="18">
        <v>23.04</v>
      </c>
      <c r="J99" s="33">
        <v>23.04</v>
      </c>
      <c r="K99" s="33"/>
      <c r="L99" s="18">
        <v>23.039287999999999</v>
      </c>
      <c r="M99" s="19" t="s">
        <v>181</v>
      </c>
      <c r="N99" s="19" t="s">
        <v>182</v>
      </c>
      <c r="O99" s="20">
        <f t="shared" si="5"/>
        <v>9.2879999999979646</v>
      </c>
      <c r="P99" s="20">
        <f t="shared" si="6"/>
        <v>-0.71200000000004593</v>
      </c>
      <c r="Q99" s="20">
        <f t="shared" si="7"/>
        <v>9.9999999999980105</v>
      </c>
      <c r="R99" s="20">
        <f t="shared" si="9"/>
        <v>-12.712000000000501</v>
      </c>
      <c r="S99" s="20">
        <f t="shared" si="8"/>
        <v>-0.71200000000004593</v>
      </c>
    </row>
    <row r="100" spans="1:19" x14ac:dyDescent="0.2">
      <c r="A100" s="21" t="s">
        <v>220</v>
      </c>
      <c r="B100" s="16" t="s">
        <v>221</v>
      </c>
      <c r="C100" s="22" t="str">
        <f t="shared" si="4"/>
        <v>C6Cn.2r/C6Cn.3n</v>
      </c>
      <c r="D100" s="4">
        <v>23.998999999999999</v>
      </c>
      <c r="E100" s="18"/>
      <c r="F100" s="4">
        <v>23.233000000000001</v>
      </c>
      <c r="G100" s="18">
        <v>23.233000000000001</v>
      </c>
      <c r="H100" s="4">
        <v>23.247</v>
      </c>
      <c r="I100" s="18">
        <v>23.212</v>
      </c>
      <c r="J100" s="33">
        <v>23.212</v>
      </c>
      <c r="K100" s="33"/>
      <c r="L100" s="18">
        <v>23.214879</v>
      </c>
      <c r="M100" s="19" t="s">
        <v>181</v>
      </c>
      <c r="N100" s="19" t="s">
        <v>182</v>
      </c>
      <c r="O100" s="20">
        <f t="shared" si="5"/>
        <v>-18.12100000000072</v>
      </c>
      <c r="P100" s="20">
        <f t="shared" si="6"/>
        <v>2.8790000000000759</v>
      </c>
      <c r="Q100" s="20">
        <f t="shared" si="7"/>
        <v>-21.000000000000796</v>
      </c>
      <c r="R100" s="20">
        <f t="shared" si="9"/>
        <v>-32.121000000000066</v>
      </c>
      <c r="S100" s="20">
        <f t="shared" si="8"/>
        <v>2.8790000000000759</v>
      </c>
    </row>
    <row r="101" spans="1:19" x14ac:dyDescent="0.2">
      <c r="A101" s="21" t="s">
        <v>222</v>
      </c>
      <c r="B101" s="16" t="s">
        <v>223</v>
      </c>
      <c r="C101" s="22" t="str">
        <f t="shared" si="4"/>
        <v>C6Cn.3n/C6Cr</v>
      </c>
      <c r="D101" s="4">
        <v>24.117999999999999</v>
      </c>
      <c r="E101" s="18"/>
      <c r="F101" s="4">
        <v>23.295000000000002</v>
      </c>
      <c r="G101" s="18">
        <v>23.295000000000002</v>
      </c>
      <c r="H101" s="4">
        <v>23.332000000000001</v>
      </c>
      <c r="I101" s="18">
        <v>23.318000000000001</v>
      </c>
      <c r="J101" s="33">
        <v>23.318000000000001</v>
      </c>
      <c r="K101" s="33"/>
      <c r="L101" s="18">
        <v>23.322583999999999</v>
      </c>
      <c r="M101" s="19" t="s">
        <v>181</v>
      </c>
      <c r="N101" s="19" t="s">
        <v>182</v>
      </c>
      <c r="O101" s="20">
        <f t="shared" si="5"/>
        <v>27.583999999997388</v>
      </c>
      <c r="P101" s="20">
        <f t="shared" si="6"/>
        <v>4.583999999997701</v>
      </c>
      <c r="Q101" s="20">
        <f t="shared" si="7"/>
        <v>22.999999999999687</v>
      </c>
      <c r="R101" s="20">
        <f t="shared" si="9"/>
        <v>-9.4160000000016453</v>
      </c>
      <c r="S101" s="20">
        <f t="shared" si="8"/>
        <v>4.583999999997701</v>
      </c>
    </row>
    <row r="102" spans="1:19" x14ac:dyDescent="0.2">
      <c r="A102" s="21" t="s">
        <v>224</v>
      </c>
      <c r="B102" s="16" t="s">
        <v>225</v>
      </c>
      <c r="C102" s="22" t="str">
        <f t="shared" si="4"/>
        <v>C6Cr/C7n.1n</v>
      </c>
      <c r="D102" s="4">
        <v>24.73</v>
      </c>
      <c r="E102" s="18"/>
      <c r="F102" s="4">
        <v>23.962</v>
      </c>
      <c r="G102" s="18">
        <v>23.962</v>
      </c>
      <c r="H102" s="4"/>
      <c r="I102" s="18">
        <v>24.024999999999999</v>
      </c>
      <c r="J102" s="33">
        <v>24.024999999999999</v>
      </c>
      <c r="K102" s="33"/>
      <c r="L102" s="18">
        <v>24.032212000000001</v>
      </c>
      <c r="M102" s="19" t="s">
        <v>181</v>
      </c>
      <c r="N102" s="19" t="s">
        <v>182</v>
      </c>
      <c r="O102" s="20">
        <f t="shared" si="5"/>
        <v>70.212000000001495</v>
      </c>
      <c r="P102" s="20">
        <f t="shared" si="6"/>
        <v>7.2120000000026607</v>
      </c>
      <c r="Q102" s="20">
        <f t="shared" si="7"/>
        <v>62.999999999998835</v>
      </c>
      <c r="R102" s="20"/>
      <c r="S102" s="20">
        <f t="shared" si="8"/>
        <v>7.2120000000026607</v>
      </c>
    </row>
    <row r="103" spans="1:19" x14ac:dyDescent="0.2">
      <c r="A103" s="21" t="s">
        <v>226</v>
      </c>
      <c r="B103" s="16" t="s">
        <v>227</v>
      </c>
      <c r="C103" s="22" t="str">
        <f t="shared" si="4"/>
        <v>C7n.1n/C7n.1r</v>
      </c>
      <c r="D103" s="4">
        <v>24.780999999999999</v>
      </c>
      <c r="E103" s="18"/>
      <c r="F103" s="4">
        <v>24</v>
      </c>
      <c r="G103" s="18">
        <v>24</v>
      </c>
      <c r="H103" s="4"/>
      <c r="I103" s="18">
        <v>24.061</v>
      </c>
      <c r="J103" s="33">
        <v>24.061</v>
      </c>
      <c r="K103" s="33"/>
      <c r="L103" s="18">
        <v>24.057039</v>
      </c>
      <c r="M103" s="19" t="s">
        <v>181</v>
      </c>
      <c r="N103" s="19" t="s">
        <v>182</v>
      </c>
      <c r="O103" s="20">
        <f t="shared" si="5"/>
        <v>57.038999999999618</v>
      </c>
      <c r="P103" s="20">
        <f t="shared" si="6"/>
        <v>-3.9610000000003254</v>
      </c>
      <c r="Q103" s="20">
        <f t="shared" si="7"/>
        <v>60.999999999999943</v>
      </c>
      <c r="R103" s="20"/>
      <c r="S103" s="20">
        <f t="shared" si="8"/>
        <v>-3.9610000000003254</v>
      </c>
    </row>
    <row r="104" spans="1:19" x14ac:dyDescent="0.2">
      <c r="A104" s="21" t="s">
        <v>228</v>
      </c>
      <c r="B104" s="16" t="s">
        <v>229</v>
      </c>
      <c r="C104" s="22" t="str">
        <f t="shared" si="4"/>
        <v>C7n.1r/C7n.2n</v>
      </c>
      <c r="D104" s="4">
        <v>24.835000000000001</v>
      </c>
      <c r="E104" s="18"/>
      <c r="F104" s="4">
        <v>24.109000000000002</v>
      </c>
      <c r="G104" s="18">
        <v>24.109000000000002</v>
      </c>
      <c r="H104" s="4"/>
      <c r="I104" s="18">
        <v>24.123999999999999</v>
      </c>
      <c r="J104" s="33">
        <v>24.123999999999999</v>
      </c>
      <c r="K104" s="33"/>
      <c r="L104" s="18">
        <v>24.115289000000001</v>
      </c>
      <c r="M104" s="19" t="s">
        <v>181</v>
      </c>
      <c r="N104" s="19" t="s">
        <v>182</v>
      </c>
      <c r="O104" s="20">
        <f t="shared" si="5"/>
        <v>6.2889999999988788</v>
      </c>
      <c r="P104" s="20">
        <f t="shared" si="6"/>
        <v>-8.7109999999981369</v>
      </c>
      <c r="Q104" s="20">
        <f t="shared" si="7"/>
        <v>14.999999999997016</v>
      </c>
      <c r="R104" s="20"/>
      <c r="S104" s="20">
        <f t="shared" si="8"/>
        <v>-8.7109999999981369</v>
      </c>
    </row>
    <row r="105" spans="1:19" x14ac:dyDescent="0.2">
      <c r="A105" s="21" t="s">
        <v>230</v>
      </c>
      <c r="B105" s="16" t="s">
        <v>231</v>
      </c>
      <c r="C105" s="22" t="str">
        <f t="shared" si="4"/>
        <v>C7n.2n/C7r</v>
      </c>
      <c r="D105" s="4">
        <v>25.183</v>
      </c>
      <c r="E105" s="18"/>
      <c r="F105" s="4">
        <v>24.474</v>
      </c>
      <c r="G105" s="18">
        <v>24.474</v>
      </c>
      <c r="H105" s="4"/>
      <c r="I105" s="18"/>
      <c r="J105" s="23">
        <v>24.459</v>
      </c>
      <c r="K105" s="33"/>
      <c r="L105" s="18">
        <v>24.462091999999998</v>
      </c>
      <c r="M105" s="19" t="s">
        <v>181</v>
      </c>
      <c r="N105" s="19" t="s">
        <v>182</v>
      </c>
      <c r="O105" s="20">
        <f t="shared" si="5"/>
        <v>-11.908000000001806</v>
      </c>
      <c r="P105" s="20">
        <f t="shared" si="6"/>
        <v>3.0919999999987624</v>
      </c>
      <c r="Q105" s="20">
        <f t="shared" si="7"/>
        <v>-15.000000000000568</v>
      </c>
      <c r="R105" s="20"/>
      <c r="S105" s="20"/>
    </row>
    <row r="106" spans="1:19" x14ac:dyDescent="0.2">
      <c r="A106" s="21" t="s">
        <v>232</v>
      </c>
      <c r="B106" s="16" t="s">
        <v>233</v>
      </c>
      <c r="C106" s="22" t="str">
        <f t="shared" si="4"/>
        <v>C7r/C7An</v>
      </c>
      <c r="D106" s="4">
        <v>25.495999999999999</v>
      </c>
      <c r="E106" s="18"/>
      <c r="F106" s="4">
        <v>24.760999999999999</v>
      </c>
      <c r="G106" s="18">
        <v>24.760999999999999</v>
      </c>
      <c r="H106" s="4"/>
      <c r="I106" s="18"/>
      <c r="J106" s="23">
        <v>24.654</v>
      </c>
      <c r="K106" s="33"/>
      <c r="L106" s="18">
        <v>24.768415999999998</v>
      </c>
      <c r="M106" s="19" t="s">
        <v>181</v>
      </c>
      <c r="N106" s="19" t="s">
        <v>182</v>
      </c>
      <c r="O106" s="20">
        <f t="shared" si="5"/>
        <v>7.415999999999201</v>
      </c>
      <c r="P106" s="20">
        <f t="shared" si="6"/>
        <v>114.41599999999852</v>
      </c>
      <c r="Q106" s="20">
        <f t="shared" si="7"/>
        <v>-106.99999999999932</v>
      </c>
      <c r="R106" s="20"/>
      <c r="S106" s="20"/>
    </row>
    <row r="107" spans="1:19" x14ac:dyDescent="0.2">
      <c r="A107" s="21" t="s">
        <v>234</v>
      </c>
      <c r="B107" s="16" t="s">
        <v>235</v>
      </c>
      <c r="C107" s="22" t="str">
        <f t="shared" si="4"/>
        <v>C7An/C7Ar</v>
      </c>
      <c r="D107" s="4">
        <v>25.648</v>
      </c>
      <c r="E107" s="18"/>
      <c r="F107" s="4">
        <v>24.984000000000002</v>
      </c>
      <c r="G107" s="18">
        <v>24.984000000000002</v>
      </c>
      <c r="H107" s="4"/>
      <c r="I107" s="18"/>
      <c r="J107" s="23">
        <v>24.765999999999998</v>
      </c>
      <c r="K107" s="33"/>
      <c r="L107" s="18">
        <v>24.894566000000001</v>
      </c>
      <c r="M107" s="19" t="s">
        <v>181</v>
      </c>
      <c r="N107" s="19" t="s">
        <v>182</v>
      </c>
      <c r="O107" s="20">
        <f t="shared" si="5"/>
        <v>-89.43400000000068</v>
      </c>
      <c r="P107" s="20">
        <f t="shared" si="6"/>
        <v>128.56600000000284</v>
      </c>
      <c r="Q107" s="20">
        <f t="shared" si="7"/>
        <v>-218.00000000000352</v>
      </c>
      <c r="R107" s="20"/>
      <c r="S107" s="20"/>
    </row>
    <row r="108" spans="1:19" x14ac:dyDescent="0.2">
      <c r="A108" s="21" t="s">
        <v>236</v>
      </c>
      <c r="B108" s="16" t="s">
        <v>237</v>
      </c>
      <c r="C108" s="22" t="str">
        <f t="shared" si="4"/>
        <v>C7Ar/</v>
      </c>
      <c r="D108" s="4">
        <v>25.823</v>
      </c>
      <c r="E108" s="18"/>
      <c r="F108" s="4">
        <v>25.099</v>
      </c>
      <c r="G108" s="18">
        <v>25.099</v>
      </c>
      <c r="H108" s="4"/>
      <c r="I108" s="18"/>
      <c r="J108" s="33">
        <v>25.099</v>
      </c>
      <c r="K108" s="23" t="s">
        <v>75</v>
      </c>
      <c r="L108" s="18">
        <v>25.049133999999999</v>
      </c>
      <c r="M108" s="19" t="s">
        <v>181</v>
      </c>
      <c r="N108" s="19" t="s">
        <v>182</v>
      </c>
      <c r="O108" s="20">
        <f t="shared" si="5"/>
        <v>-49.86600000000152</v>
      </c>
      <c r="P108" s="20">
        <f t="shared" si="6"/>
        <v>-49.86600000000152</v>
      </c>
      <c r="Q108" s="20">
        <f t="shared" si="7"/>
        <v>0</v>
      </c>
      <c r="R108" s="20"/>
      <c r="S108" s="20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Preliminary MioOcean GPTS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Drury, Anna Joy J. (Dr.)</dc:creator>
  <cp:lastModifiedBy>Drury, Anna Joy J. (Dr.)</cp:lastModifiedBy>
  <dcterms:created xsi:type="dcterms:W3CDTF">2025-10-06T14:56:24Z</dcterms:created>
  <dcterms:modified xsi:type="dcterms:W3CDTF">2025-10-06T14:58:00Z</dcterms:modified>
</cp:coreProperties>
</file>