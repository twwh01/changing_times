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ol.le.ac.uk\root\staff\home\t\twwh1\My Documents\GitHub\shiny_stratigraphy\data\"/>
    </mc:Choice>
  </mc:AlternateContent>
  <xr:revisionPtr revIDLastSave="0" documentId="13_ncr:1_{3797E7DE-B4C4-488B-A19D-40A30AFA0301}" xr6:coauthVersionLast="47" xr6:coauthVersionMax="47" xr10:uidLastSave="{00000000-0000-0000-0000-000000000000}"/>
  <bookViews>
    <workbookView xWindow="-28920" yWindow="-2895" windowWidth="29040" windowHeight="15840" xr2:uid="{EABBE038-32C2-2345-AF9A-99F1DF7CF68D}"/>
  </bookViews>
  <sheets>
    <sheet name="Preliminary MioOcean GPTS" sheetId="1" r:id="rId1"/>
  </sheets>
  <definedNames>
    <definedName name="_xlnm._FilterDatabase" localSheetId="0" hidden="1">'Preliminary MioOcean GPTS'!$A$1:$N$108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1" i="1" l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<sst xmlns="http://schemas.openxmlformats.org/spreadsheetml/2006/main" count="369" uniqueCount="225">
  <si>
    <t>Reversal</t>
  </si>
  <si>
    <t>CK1995</t>
  </si>
  <si>
    <t>GTS2004</t>
  </si>
  <si>
    <t>GTS2012</t>
  </si>
  <si>
    <t>GTS2016</t>
  </si>
  <si>
    <t>L2016</t>
  </si>
  <si>
    <t>B2018</t>
  </si>
  <si>
    <t>GTS2020</t>
  </si>
  <si>
    <t>GTS2020 source</t>
  </si>
  <si>
    <t>W2020</t>
  </si>
  <si>
    <t>W2020 source</t>
  </si>
  <si>
    <t>W2020 Expedition</t>
  </si>
  <si>
    <t>C2An.3n (Gauss continued)</t>
  </si>
  <si>
    <t>C2An.3n (o)</t>
  </si>
  <si>
    <t>GPTS2012</t>
  </si>
  <si>
    <t>C2Ar (Gilbert)</t>
  </si>
  <si>
    <t>C3n.1n (y)</t>
  </si>
  <si>
    <t>C3n.1n (Cochiti)</t>
  </si>
  <si>
    <t>C3n.1n (o)</t>
  </si>
  <si>
    <t>C3n.1r</t>
  </si>
  <si>
    <t>C3n.2n (y)</t>
  </si>
  <si>
    <t>C3n.2n (Nunivak)</t>
  </si>
  <si>
    <t>C3n.2n (o)</t>
  </si>
  <si>
    <t>C3n.2r</t>
  </si>
  <si>
    <t>C3n.3n (y)</t>
  </si>
  <si>
    <t>C3n.3n (Sidufjall)</t>
  </si>
  <si>
    <t>C3n.3n (o)</t>
  </si>
  <si>
    <t>C3n.3r</t>
  </si>
  <si>
    <t>C3n.4n (y)</t>
  </si>
  <si>
    <t>C3n.4n (Thvera)</t>
  </si>
  <si>
    <t>C3n.4n (o)</t>
  </si>
  <si>
    <t>C3r (Gilbert lower part)</t>
  </si>
  <si>
    <t>C3An.1n (y)</t>
  </si>
  <si>
    <t>Drury et al. 2017</t>
  </si>
  <si>
    <t>Exp320/321</t>
  </si>
  <si>
    <t>C3An.1n</t>
  </si>
  <si>
    <t>C3An.1n (o)</t>
  </si>
  <si>
    <t>C3An.1r</t>
  </si>
  <si>
    <t>C3An.2n (y)</t>
  </si>
  <si>
    <t>C3An.2n</t>
  </si>
  <si>
    <t>C3An.2n (o)</t>
  </si>
  <si>
    <t>C3Ar</t>
  </si>
  <si>
    <t>C3Bn (y)</t>
  </si>
  <si>
    <t>C3Bn</t>
  </si>
  <si>
    <t>C3Bn (o)</t>
  </si>
  <si>
    <t>C3Br.1r</t>
  </si>
  <si>
    <t>C3Br.1n (y)</t>
  </si>
  <si>
    <t>C3Br.1n</t>
  </si>
  <si>
    <t>C3Br.1n (o)</t>
  </si>
  <si>
    <t>C3Br.2r</t>
  </si>
  <si>
    <t>C3Br.2n (y)</t>
  </si>
  <si>
    <t>C3Br.2n</t>
  </si>
  <si>
    <t>C3Br.2n (o)</t>
  </si>
  <si>
    <t>C3Br.3r</t>
  </si>
  <si>
    <t>C4n.1n (y)</t>
  </si>
  <si>
    <t>C4n.1n</t>
  </si>
  <si>
    <t>C4n.1n (o)</t>
  </si>
  <si>
    <t>C4n.1r</t>
  </si>
  <si>
    <t>C4n.2n (y)</t>
  </si>
  <si>
    <t>C4n.2n</t>
  </si>
  <si>
    <t>C4n.2n (o)</t>
  </si>
  <si>
    <t>C4r.1r</t>
  </si>
  <si>
    <t>C4r.1n (y)</t>
  </si>
  <si>
    <t>C4r.1n</t>
  </si>
  <si>
    <t>C4r.1n (o)</t>
  </si>
  <si>
    <t>no change from GTS2012/16</t>
  </si>
  <si>
    <t>C4r.2r</t>
  </si>
  <si>
    <t>C4An (y)</t>
  </si>
  <si>
    <t>C4An</t>
  </si>
  <si>
    <t>C4An (o)</t>
  </si>
  <si>
    <t>C4Ar.1r</t>
  </si>
  <si>
    <t>C4Ar.1n (y)</t>
  </si>
  <si>
    <t>C4Ar.1n</t>
  </si>
  <si>
    <t>C4Ar.1n (o)</t>
  </si>
  <si>
    <t>C4Ar.2r</t>
  </si>
  <si>
    <t>C4Ar.2n (y)</t>
  </si>
  <si>
    <t>C4Ar.2n</t>
  </si>
  <si>
    <t>C4Ar.2n (o)</t>
  </si>
  <si>
    <t>C4Ar.3r</t>
  </si>
  <si>
    <t>C5n.1n (y)</t>
  </si>
  <si>
    <t>C5n.1n</t>
  </si>
  <si>
    <t>C5n.1n (o)</t>
  </si>
  <si>
    <t>C5n.1r</t>
  </si>
  <si>
    <t>C5n.2n (y)</t>
  </si>
  <si>
    <t>C5n.2n</t>
  </si>
  <si>
    <t>C5n.2n (o)</t>
  </si>
  <si>
    <t>C5r.1r</t>
  </si>
  <si>
    <t>C5r.1n (y)</t>
  </si>
  <si>
    <t>C5r.1n</t>
  </si>
  <si>
    <t>C5r.1n (o)</t>
  </si>
  <si>
    <t>C5r.2r</t>
  </si>
  <si>
    <t>C5r.2n (y)</t>
  </si>
  <si>
    <t>C5r.2n</t>
  </si>
  <si>
    <t>C5r.2n (o)</t>
  </si>
  <si>
    <t>C5r.3r</t>
  </si>
  <si>
    <t>C5An.1n (y)</t>
  </si>
  <si>
    <t>C5An.1n</t>
  </si>
  <si>
    <t>C5An.1n (o)</t>
  </si>
  <si>
    <t>C5An.1r</t>
  </si>
  <si>
    <t>C5An.2n (y)</t>
  </si>
  <si>
    <t>C5An.2n</t>
  </si>
  <si>
    <t>C5An.2n (o)</t>
  </si>
  <si>
    <t>C5Ar.1r</t>
  </si>
  <si>
    <t>C5Ar.1n (y)</t>
  </si>
  <si>
    <t>C5Ar.1n</t>
  </si>
  <si>
    <t>C5Ar.1n (o)</t>
  </si>
  <si>
    <t>C5Ar.2r</t>
  </si>
  <si>
    <t>C5Ar.2n (y)</t>
  </si>
  <si>
    <t>C5Ar.2n</t>
  </si>
  <si>
    <t>C5Ar.2n (o)</t>
  </si>
  <si>
    <t>C5Ar.3r</t>
  </si>
  <si>
    <t>C5AAn (y)</t>
  </si>
  <si>
    <t>C5AAn</t>
  </si>
  <si>
    <t>C5AAn (o)</t>
  </si>
  <si>
    <t>C5AAr</t>
  </si>
  <si>
    <t>C5ABn (y)</t>
  </si>
  <si>
    <t>C5ABn</t>
  </si>
  <si>
    <t>C5ABn (o)</t>
  </si>
  <si>
    <t>C5ABr</t>
  </si>
  <si>
    <t>C5ACn (y)</t>
  </si>
  <si>
    <t>C5ACn</t>
  </si>
  <si>
    <t>C5ACn (o)</t>
  </si>
  <si>
    <t>C5ACr</t>
  </si>
  <si>
    <t>C5ADn (y)</t>
  </si>
  <si>
    <t>C5ADn</t>
  </si>
  <si>
    <t>C5ADn (o)</t>
  </si>
  <si>
    <t>C5ADr</t>
  </si>
  <si>
    <t>C5Bn.1n (y)</t>
  </si>
  <si>
    <t>C5Bn.1n</t>
  </si>
  <si>
    <t>C5Bn.1n (o)</t>
  </si>
  <si>
    <t>C5Bn.1r</t>
  </si>
  <si>
    <t>C5Bn.2n (y)</t>
  </si>
  <si>
    <t>Kochhann et al. 2016</t>
  </si>
  <si>
    <t>C5Bn.2n</t>
  </si>
  <si>
    <t>C5Bn.2n (o)</t>
  </si>
  <si>
    <t>C5Br</t>
  </si>
  <si>
    <t>C5Cn.1n (y)</t>
  </si>
  <si>
    <t>C5Cn.1n</t>
  </si>
  <si>
    <t>C5Cn.1n (o)</t>
  </si>
  <si>
    <t>C5Cn.1r</t>
  </si>
  <si>
    <t>C5Cn.2n (y)</t>
  </si>
  <si>
    <t>C5Cn.2n</t>
  </si>
  <si>
    <t>C5Cn.2n (o)</t>
  </si>
  <si>
    <t>C5Cn.2r</t>
  </si>
  <si>
    <t>C5Cn.3n (y)</t>
  </si>
  <si>
    <t>C5Cn.3n</t>
  </si>
  <si>
    <t>C5Cn.3n (o)</t>
  </si>
  <si>
    <t>C5Cr</t>
  </si>
  <si>
    <t>C5Dn (y)</t>
  </si>
  <si>
    <t>GPTS2012 = GPTS2004 = interpolated ages from seafloor-spreading-rates (Australia–Antarctic plate pair)</t>
  </si>
  <si>
    <t>C5Dn</t>
  </si>
  <si>
    <t>C5Dn (o)</t>
  </si>
  <si>
    <t>C5Dr.1r</t>
  </si>
  <si>
    <t>C5Dr.1n (y)</t>
  </si>
  <si>
    <t>C5Dr.1n</t>
  </si>
  <si>
    <t>C5Dr.1n (o)</t>
  </si>
  <si>
    <t>C5Dr.2r</t>
  </si>
  <si>
    <t>C5En (y)</t>
  </si>
  <si>
    <t>interpolated from GTS2012</t>
  </si>
  <si>
    <t>C5En</t>
  </si>
  <si>
    <t>C5En (o)</t>
  </si>
  <si>
    <t>Liebrand et al. 2016</t>
  </si>
  <si>
    <t>C5Er</t>
  </si>
  <si>
    <t>C6n (y)</t>
  </si>
  <si>
    <t>C6n</t>
  </si>
  <si>
    <t>C6n (o)</t>
  </si>
  <si>
    <t>Westerhold et al., 2020 (this study)</t>
  </si>
  <si>
    <t>Leg199, Exp320/321</t>
  </si>
  <si>
    <t>C6r</t>
  </si>
  <si>
    <t>C6An.1n (y)</t>
  </si>
  <si>
    <t>C6An.1n</t>
  </si>
  <si>
    <t>C6An.1n (o)</t>
  </si>
  <si>
    <t>C6An.1r</t>
  </si>
  <si>
    <t>C6An.2n (y)</t>
  </si>
  <si>
    <t>C6An.2n</t>
  </si>
  <si>
    <t>C6An.2n (o)</t>
  </si>
  <si>
    <t>C6Ar</t>
  </si>
  <si>
    <t>C6AAn (y)</t>
  </si>
  <si>
    <t>C6AAn</t>
  </si>
  <si>
    <t>C6AAn (o)</t>
  </si>
  <si>
    <t>C6AAr.1r</t>
  </si>
  <si>
    <t>C6AAr.1n (y)</t>
  </si>
  <si>
    <t>C6AAr.1n</t>
  </si>
  <si>
    <t>C6AAr.1n (o)</t>
  </si>
  <si>
    <t>C6AAr.2r</t>
  </si>
  <si>
    <t>C6AAr.2n (y)</t>
  </si>
  <si>
    <t>C6AAr.2n</t>
  </si>
  <si>
    <t>C6AAr.2n (o)</t>
  </si>
  <si>
    <t>C6AAr.3r</t>
  </si>
  <si>
    <t>C6Bn.1n (y)</t>
  </si>
  <si>
    <t>C6Bn.1n</t>
  </si>
  <si>
    <t>C6Bn.1n (o)</t>
  </si>
  <si>
    <t>Beddow et al. 2018</t>
  </si>
  <si>
    <t>C6Bn.1r</t>
  </si>
  <si>
    <t>C6Bn.2n (y)</t>
  </si>
  <si>
    <t>C6Bn.2n</t>
  </si>
  <si>
    <t>C6Bn.2n (o)</t>
  </si>
  <si>
    <t>C6Br</t>
  </si>
  <si>
    <t>C6Cn.1n (y)</t>
  </si>
  <si>
    <t>C6Cn.1n</t>
  </si>
  <si>
    <t>C6Cn.1n (o)</t>
  </si>
  <si>
    <t>C6Cn.1r</t>
  </si>
  <si>
    <t>C6Cn.2n (y)</t>
  </si>
  <si>
    <t>C6Cn.2n</t>
  </si>
  <si>
    <t>C6Cn.2n (o)</t>
  </si>
  <si>
    <t>C6Cn.2r</t>
  </si>
  <si>
    <t>C6Cn.3n (y)</t>
  </si>
  <si>
    <t>C6Cn.3n</t>
  </si>
  <si>
    <t>C6Cn.3n (o)</t>
  </si>
  <si>
    <t>C6Cr</t>
  </si>
  <si>
    <t>C7n.1n (y)</t>
  </si>
  <si>
    <t>C7n.1n</t>
  </si>
  <si>
    <t>C7n.1n (o)</t>
  </si>
  <si>
    <t>C7n.1r</t>
  </si>
  <si>
    <t>C7n.2n (y)</t>
  </si>
  <si>
    <t>C7n.2n</t>
  </si>
  <si>
    <t>C7n.2n (o)</t>
  </si>
  <si>
    <t>C7r</t>
  </si>
  <si>
    <t>C7An (y)</t>
  </si>
  <si>
    <t>C7An</t>
  </si>
  <si>
    <t>C7An (o)</t>
  </si>
  <si>
    <t>C7Ar</t>
  </si>
  <si>
    <t>C8n.1n (y)</t>
  </si>
  <si>
    <t>magnetochron_base</t>
  </si>
  <si>
    <t>Magnetochron_y_o_W2020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</si>
</sst>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3" fillId="0" borderId="0" xfId="0" applyNumberFormat="1" applyFont="1" applyFill="1" applyBorder="1" applyAlignment="1">
      <alignment vertical="top"/>
    </xf>
    <xf numFmtId="164" fontId="0" fillId="0" borderId="0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64" fontId="4" fillId="0" borderId="0" xfId="0" applyNumberFormat="1" applyFont="1" applyFill="1" applyBorder="1" applyAlignment="1">
      <alignment vertical="top"/>
    </xf>
    <xf numFmtId="164" fontId="0" fillId="0" borderId="0" xfId="0" applyNumberFormat="1" applyFont="1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164" fontId="2" fillId="0" borderId="0" xfId="0" applyNumberFormat="1" applyFont="1" applyFill="1" applyBorder="1" applyAlignment="1">
      <alignment vertical="top"/>
    </xf>
    <xf numFmtId="164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3210-D010-2947-8510-2E571B8328D7}">
  <dimension ref="A1:N101"/>
  <sheetViews>
    <sheetView tabSelected="1" zoomScale="80" zoomScaleNormal="80" workbookViewId="0">
      <pane ySplit="1" topLeftCell="A2" activePane="bottomLeft" state="frozen"/>
      <selection pane="bottomLeft" activeCell="C7" sqref="C7"/>
    </sheetView>
  </sheetViews>
  <sheetFormatPr defaultColWidth="10.6640625" defaultRowHeight="15.5" x14ac:dyDescent="0.35"/>
  <cols>
    <col min="1" max="1" width="26.08203125" style="3" bestFit="1" customWidth="1"/>
    <col min="2" max="2" width="28.08203125" style="3" customWidth="1"/>
    <col min="3" max="3" width="36.5" style="3" bestFit="1" customWidth="1"/>
    <col min="4" max="10" width="10.83203125" style="3" customWidth="1"/>
    <col min="11" max="11" width="29.33203125" style="3" customWidth="1"/>
    <col min="12" max="12" width="10.83203125" style="3" customWidth="1"/>
    <col min="13" max="13" width="14.6640625" style="3" customWidth="1"/>
    <col min="14" max="14" width="17.83203125" style="3" customWidth="1"/>
    <col min="15" max="16384" width="10.6640625" style="3"/>
  </cols>
  <sheetData>
    <row r="1" spans="1:14" x14ac:dyDescent="0.35">
      <c r="A1" s="8" t="s">
        <v>223</v>
      </c>
      <c r="B1" s="8" t="s">
        <v>224</v>
      </c>
      <c r="C1" s="8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8" t="s">
        <v>8</v>
      </c>
      <c r="L1" s="9" t="s">
        <v>9</v>
      </c>
      <c r="M1" s="10" t="s">
        <v>10</v>
      </c>
      <c r="N1" s="10" t="s">
        <v>11</v>
      </c>
    </row>
    <row r="2" spans="1:14" x14ac:dyDescent="0.35">
      <c r="A2" s="1" t="s">
        <v>12</v>
      </c>
      <c r="B2" s="2" t="s">
        <v>13</v>
      </c>
      <c r="C2" s="2" t="str">
        <f t="shared" ref="C2:C61" si="0">A2&amp;"/"&amp;A3</f>
        <v>C2An.3n (Gauss continued)/C2Ar (Gilbert)</v>
      </c>
      <c r="D2" s="2">
        <v>3.58</v>
      </c>
      <c r="E2" s="2">
        <v>3.5960000000000001</v>
      </c>
      <c r="F2" s="2">
        <v>3.5960000000000001</v>
      </c>
      <c r="G2" s="2">
        <v>3.5960000000000001</v>
      </c>
      <c r="H2" s="2"/>
      <c r="I2" s="2"/>
      <c r="J2" s="2">
        <v>3.5960000000000001</v>
      </c>
      <c r="L2" s="2">
        <v>3.5960000000000001</v>
      </c>
      <c r="M2" s="3" t="s">
        <v>14</v>
      </c>
    </row>
    <row r="3" spans="1:14" x14ac:dyDescent="0.35">
      <c r="A3" s="1" t="s">
        <v>15</v>
      </c>
      <c r="B3" s="2" t="s">
        <v>16</v>
      </c>
      <c r="C3" s="2" t="str">
        <f t="shared" si="0"/>
        <v>C2Ar (Gilbert)/C3n.1n (Cochiti)</v>
      </c>
      <c r="D3" s="2">
        <v>4.18</v>
      </c>
      <c r="E3" s="2">
        <v>4.1870000000000003</v>
      </c>
      <c r="F3" s="2">
        <v>4.1870000000000003</v>
      </c>
      <c r="G3" s="2">
        <v>4.1870000000000003</v>
      </c>
      <c r="H3" s="2"/>
      <c r="I3" s="2"/>
      <c r="J3" s="2">
        <v>4.1870000000000003</v>
      </c>
      <c r="L3" s="2">
        <v>4.1870000000000003</v>
      </c>
      <c r="M3" s="3" t="s">
        <v>14</v>
      </c>
    </row>
    <row r="4" spans="1:14" x14ac:dyDescent="0.35">
      <c r="A4" s="1" t="s">
        <v>17</v>
      </c>
      <c r="B4" s="2" t="s">
        <v>18</v>
      </c>
      <c r="C4" s="2" t="str">
        <f t="shared" si="0"/>
        <v>C3n.1n (Cochiti)/C3n.1r</v>
      </c>
      <c r="D4" s="2">
        <v>4.29</v>
      </c>
      <c r="E4" s="2">
        <v>4.3</v>
      </c>
      <c r="F4" s="2">
        <v>4.3</v>
      </c>
      <c r="G4" s="2">
        <v>4.3</v>
      </c>
      <c r="H4" s="2"/>
      <c r="I4" s="2"/>
      <c r="J4" s="2">
        <v>4.3</v>
      </c>
      <c r="L4" s="2">
        <v>4.3</v>
      </c>
      <c r="M4" s="3" t="s">
        <v>14</v>
      </c>
    </row>
    <row r="5" spans="1:14" x14ac:dyDescent="0.35">
      <c r="A5" s="2" t="s">
        <v>19</v>
      </c>
      <c r="B5" s="2" t="s">
        <v>20</v>
      </c>
      <c r="C5" s="2" t="str">
        <f t="shared" si="0"/>
        <v>C3n.1r/C3n.2n (Nunivak)</v>
      </c>
      <c r="D5" s="2">
        <v>4.4800000000000004</v>
      </c>
      <c r="E5" s="2">
        <v>4.4930000000000003</v>
      </c>
      <c r="F5" s="2">
        <v>4.4930000000000003</v>
      </c>
      <c r="G5" s="2">
        <v>4.4930000000000003</v>
      </c>
      <c r="H5" s="2"/>
      <c r="I5" s="2"/>
      <c r="J5" s="2">
        <v>4.4930000000000003</v>
      </c>
      <c r="K5" s="2"/>
      <c r="L5" s="2">
        <v>4.4930000000000003</v>
      </c>
      <c r="M5" s="3" t="s">
        <v>14</v>
      </c>
    </row>
    <row r="6" spans="1:14" x14ac:dyDescent="0.35">
      <c r="A6" s="1" t="s">
        <v>21</v>
      </c>
      <c r="B6" s="2" t="s">
        <v>22</v>
      </c>
      <c r="C6" s="1" t="str">
        <f t="shared" si="0"/>
        <v>C3n.2n (Nunivak)/C3n.2r</v>
      </c>
      <c r="D6" s="2">
        <v>4.62</v>
      </c>
      <c r="E6" s="2">
        <v>4.6310000000000002</v>
      </c>
      <c r="F6" s="2">
        <v>4.6310000000000002</v>
      </c>
      <c r="G6" s="2">
        <v>4.6310000000000002</v>
      </c>
      <c r="H6" s="2"/>
      <c r="I6" s="2"/>
      <c r="J6" s="2">
        <v>4.6310000000000002</v>
      </c>
      <c r="L6" s="2">
        <v>4.6310000000000002</v>
      </c>
      <c r="M6" s="3" t="s">
        <v>14</v>
      </c>
    </row>
    <row r="7" spans="1:14" x14ac:dyDescent="0.35">
      <c r="A7" s="2" t="s">
        <v>23</v>
      </c>
      <c r="B7" s="2" t="s">
        <v>24</v>
      </c>
      <c r="C7" s="1" t="str">
        <f t="shared" si="0"/>
        <v>C3n.2r/C3n.3n (Sidufjall)</v>
      </c>
      <c r="D7" s="2">
        <v>4.8</v>
      </c>
      <c r="E7" s="2">
        <v>4.7990000000000004</v>
      </c>
      <c r="F7" s="2">
        <v>4.7990000000000004</v>
      </c>
      <c r="G7" s="2">
        <v>4.7990000000000004</v>
      </c>
      <c r="H7" s="2"/>
      <c r="I7" s="2"/>
      <c r="J7" s="2">
        <v>4.7990000000000004</v>
      </c>
      <c r="K7" s="2"/>
      <c r="L7" s="2">
        <v>4.7990000000000004</v>
      </c>
      <c r="M7" s="3" t="s">
        <v>14</v>
      </c>
    </row>
    <row r="8" spans="1:14" x14ac:dyDescent="0.35">
      <c r="A8" s="1" t="s">
        <v>25</v>
      </c>
      <c r="B8" s="2" t="s">
        <v>26</v>
      </c>
      <c r="C8" s="1" t="str">
        <f t="shared" si="0"/>
        <v>C3n.3n (Sidufjall)/C3n.3r</v>
      </c>
      <c r="D8" s="2">
        <v>4.8899999999999997</v>
      </c>
      <c r="E8" s="2">
        <v>4.8959999999999999</v>
      </c>
      <c r="F8" s="2">
        <v>4.8959999999999999</v>
      </c>
      <c r="G8" s="2">
        <v>4.8959999999999999</v>
      </c>
      <c r="H8" s="2"/>
      <c r="I8" s="2"/>
      <c r="J8" s="2">
        <v>4.8959999999999999</v>
      </c>
      <c r="L8" s="2">
        <v>4.8959999999999999</v>
      </c>
      <c r="M8" s="3" t="s">
        <v>14</v>
      </c>
    </row>
    <row r="9" spans="1:14" x14ac:dyDescent="0.35">
      <c r="A9" s="2" t="s">
        <v>27</v>
      </c>
      <c r="B9" s="2" t="s">
        <v>28</v>
      </c>
      <c r="C9" s="1" t="str">
        <f t="shared" si="0"/>
        <v>C3n.3r/C3n.4n (Thvera)</v>
      </c>
      <c r="D9" s="2">
        <v>4.9800000000000004</v>
      </c>
      <c r="E9" s="2">
        <v>4.9969999999999999</v>
      </c>
      <c r="F9" s="2">
        <v>4.9969999999999999</v>
      </c>
      <c r="G9" s="2">
        <v>4.9969999999999999</v>
      </c>
      <c r="H9" s="2"/>
      <c r="I9" s="2"/>
      <c r="J9" s="2">
        <v>4.9969999999999999</v>
      </c>
      <c r="K9" s="2"/>
      <c r="L9" s="2">
        <v>4.9969999999999999</v>
      </c>
      <c r="M9" s="3" t="s">
        <v>14</v>
      </c>
    </row>
    <row r="10" spans="1:14" x14ac:dyDescent="0.35">
      <c r="A10" s="1" t="s">
        <v>29</v>
      </c>
      <c r="B10" s="2" t="s">
        <v>30</v>
      </c>
      <c r="C10" s="1" t="str">
        <f t="shared" si="0"/>
        <v>C3n.4n (Thvera)/C3r (Gilbert lower part)</v>
      </c>
      <c r="D10" s="2">
        <v>5.23</v>
      </c>
      <c r="E10" s="2">
        <v>5.2350000000000003</v>
      </c>
      <c r="F10" s="2">
        <v>5.2350000000000003</v>
      </c>
      <c r="G10" s="2">
        <v>5.2350000000000003</v>
      </c>
      <c r="H10" s="2"/>
      <c r="I10" s="2"/>
      <c r="J10" s="2">
        <v>5.2350000000000003</v>
      </c>
      <c r="L10" s="2">
        <v>5.2350000000000003</v>
      </c>
      <c r="M10" s="3" t="s">
        <v>14</v>
      </c>
    </row>
    <row r="11" spans="1:14" x14ac:dyDescent="0.35">
      <c r="A11" s="1" t="s">
        <v>31</v>
      </c>
      <c r="B11" s="2" t="s">
        <v>32</v>
      </c>
      <c r="C11" s="1" t="str">
        <f t="shared" si="0"/>
        <v>C3r (Gilbert lower part)/C3An.1n</v>
      </c>
      <c r="D11" s="2">
        <v>5.875</v>
      </c>
      <c r="E11" s="2">
        <v>6.0330000000000004</v>
      </c>
      <c r="F11" s="2">
        <v>6.0330000000000004</v>
      </c>
      <c r="G11" s="2">
        <v>6.0330000000000004</v>
      </c>
      <c r="H11" s="2"/>
      <c r="I11" s="2"/>
      <c r="J11" s="2">
        <v>6.0229999999999997</v>
      </c>
      <c r="K11" s="4" t="s">
        <v>33</v>
      </c>
      <c r="L11" s="2">
        <v>6.0232153000000004</v>
      </c>
      <c r="M11" s="3" t="s">
        <v>33</v>
      </c>
      <c r="N11" s="3" t="s">
        <v>34</v>
      </c>
    </row>
    <row r="12" spans="1:14" x14ac:dyDescent="0.35">
      <c r="A12" s="2" t="s">
        <v>35</v>
      </c>
      <c r="B12" s="2" t="s">
        <v>36</v>
      </c>
      <c r="C12" s="1" t="str">
        <f t="shared" si="0"/>
        <v>C3An.1n/C3An.1r</v>
      </c>
      <c r="D12" s="2">
        <v>6.1219999999999999</v>
      </c>
      <c r="E12" s="2">
        <v>6.2519999999999998</v>
      </c>
      <c r="F12" s="2">
        <v>6.2519999999999998</v>
      </c>
      <c r="G12" s="2">
        <v>6.2519999999999998</v>
      </c>
      <c r="H12" s="2"/>
      <c r="I12" s="2"/>
      <c r="J12" s="2">
        <v>6.2720000000000002</v>
      </c>
      <c r="K12" s="2"/>
      <c r="L12" s="2">
        <v>6.2715712000000003</v>
      </c>
      <c r="M12" s="3" t="s">
        <v>33</v>
      </c>
      <c r="N12" s="3" t="s">
        <v>34</v>
      </c>
    </row>
    <row r="13" spans="1:14" x14ac:dyDescent="0.35">
      <c r="A13" s="2" t="s">
        <v>37</v>
      </c>
      <c r="B13" s="2" t="s">
        <v>38</v>
      </c>
      <c r="C13" s="1" t="str">
        <f t="shared" si="0"/>
        <v>C3An.1r/C3An.2n</v>
      </c>
      <c r="D13" s="2">
        <v>6.2560000000000002</v>
      </c>
      <c r="E13" s="2">
        <v>6.4359999999999999</v>
      </c>
      <c r="F13" s="2">
        <v>6.4359999999999999</v>
      </c>
      <c r="G13" s="2">
        <v>6.4359999999999999</v>
      </c>
      <c r="H13" s="2"/>
      <c r="I13" s="2"/>
      <c r="J13" s="2">
        <v>6.3860000000000001</v>
      </c>
      <c r="K13" s="2"/>
      <c r="L13" s="2">
        <v>6.3862686000000002</v>
      </c>
      <c r="M13" s="3" t="s">
        <v>33</v>
      </c>
      <c r="N13" s="3" t="s">
        <v>34</v>
      </c>
    </row>
    <row r="14" spans="1:14" x14ac:dyDescent="0.35">
      <c r="A14" s="2" t="s">
        <v>39</v>
      </c>
      <c r="B14" s="2" t="s">
        <v>40</v>
      </c>
      <c r="C14" s="1" t="str">
        <f t="shared" si="0"/>
        <v>C3An.2n/C3Ar</v>
      </c>
      <c r="D14" s="2">
        <v>6.5549999999999997</v>
      </c>
      <c r="E14" s="2">
        <v>6.7329999999999997</v>
      </c>
      <c r="F14" s="2">
        <v>6.7329999999999997</v>
      </c>
      <c r="G14" s="2">
        <v>6.7329999999999997</v>
      </c>
      <c r="H14" s="2"/>
      <c r="I14" s="2"/>
      <c r="J14" s="2">
        <v>6.7270000000000003</v>
      </c>
      <c r="K14" s="2"/>
      <c r="L14" s="2">
        <v>6.7269706999999999</v>
      </c>
      <c r="M14" s="3" t="s">
        <v>33</v>
      </c>
      <c r="N14" s="3" t="s">
        <v>34</v>
      </c>
    </row>
    <row r="15" spans="1:14" x14ac:dyDescent="0.35">
      <c r="A15" s="2" t="s">
        <v>41</v>
      </c>
      <c r="B15" s="2" t="s">
        <v>42</v>
      </c>
      <c r="C15" s="1" t="str">
        <f t="shared" si="0"/>
        <v>C3Ar/C3Bn</v>
      </c>
      <c r="D15" s="2">
        <v>6.9189999999999996</v>
      </c>
      <c r="E15" s="2">
        <v>7.14</v>
      </c>
      <c r="F15" s="2">
        <v>7.14</v>
      </c>
      <c r="G15" s="2">
        <v>7.14</v>
      </c>
      <c r="H15" s="2"/>
      <c r="I15" s="2"/>
      <c r="J15" s="2">
        <v>7.1040000000000001</v>
      </c>
      <c r="K15" s="2"/>
      <c r="L15" s="2">
        <v>7.1039915000000002</v>
      </c>
      <c r="M15" s="3" t="s">
        <v>33</v>
      </c>
      <c r="N15" s="3" t="s">
        <v>34</v>
      </c>
    </row>
    <row r="16" spans="1:14" x14ac:dyDescent="0.35">
      <c r="A16" s="2" t="s">
        <v>43</v>
      </c>
      <c r="B16" s="2" t="s">
        <v>44</v>
      </c>
      <c r="C16" s="1" t="str">
        <f t="shared" si="0"/>
        <v>C3Bn/C3Br.1r</v>
      </c>
      <c r="D16" s="2">
        <v>7.0720000000000001</v>
      </c>
      <c r="E16" s="2">
        <v>7.2119999999999997</v>
      </c>
      <c r="F16" s="2">
        <v>7.2119999999999997</v>
      </c>
      <c r="G16" s="2">
        <v>7.2119999999999997</v>
      </c>
      <c r="H16" s="2"/>
      <c r="I16" s="2"/>
      <c r="J16" s="2">
        <v>7.2140000000000004</v>
      </c>
      <c r="K16" s="2"/>
      <c r="L16" s="2">
        <v>7.2137112999999999</v>
      </c>
      <c r="M16" s="3" t="s">
        <v>33</v>
      </c>
      <c r="N16" s="3" t="s">
        <v>34</v>
      </c>
    </row>
    <row r="17" spans="1:14" x14ac:dyDescent="0.35">
      <c r="A17" s="2" t="s">
        <v>45</v>
      </c>
      <c r="B17" s="2" t="s">
        <v>46</v>
      </c>
      <c r="C17" s="1" t="str">
        <f t="shared" si="0"/>
        <v>C3Br.1r/C3Br.1n</v>
      </c>
      <c r="D17" s="2">
        <v>7.1349999999999998</v>
      </c>
      <c r="E17" s="2">
        <v>7.2510000000000003</v>
      </c>
      <c r="F17" s="2">
        <v>7.2510000000000003</v>
      </c>
      <c r="G17" s="2">
        <v>7.2510000000000003</v>
      </c>
      <c r="H17" s="2"/>
      <c r="I17" s="2"/>
      <c r="J17" s="2">
        <v>7.2619999999999996</v>
      </c>
      <c r="K17" s="2"/>
      <c r="L17" s="2">
        <v>7.2616639000000003</v>
      </c>
      <c r="M17" s="3" t="s">
        <v>33</v>
      </c>
      <c r="N17" s="3" t="s">
        <v>34</v>
      </c>
    </row>
    <row r="18" spans="1:14" x14ac:dyDescent="0.35">
      <c r="A18" s="2" t="s">
        <v>47</v>
      </c>
      <c r="B18" s="2" t="s">
        <v>48</v>
      </c>
      <c r="C18" s="1" t="str">
        <f t="shared" si="0"/>
        <v>C3Br.1n/C3Br.2r</v>
      </c>
      <c r="D18" s="2">
        <v>7.17</v>
      </c>
      <c r="E18" s="2">
        <v>7.2850000000000001</v>
      </c>
      <c r="F18" s="2">
        <v>7.2850000000000001</v>
      </c>
      <c r="G18" s="2">
        <v>7.2850000000000001</v>
      </c>
      <c r="H18" s="2"/>
      <c r="I18" s="2"/>
      <c r="J18" s="2">
        <v>7.3049999999999997</v>
      </c>
      <c r="K18" s="2"/>
      <c r="L18" s="2">
        <v>7.3046540999999996</v>
      </c>
      <c r="M18" s="3" t="s">
        <v>33</v>
      </c>
      <c r="N18" s="3" t="s">
        <v>34</v>
      </c>
    </row>
    <row r="19" spans="1:14" x14ac:dyDescent="0.35">
      <c r="A19" s="2" t="s">
        <v>49</v>
      </c>
      <c r="B19" s="2" t="s">
        <v>50</v>
      </c>
      <c r="C19" s="1" t="str">
        <f t="shared" si="0"/>
        <v>C3Br.2r/C3Br.2n</v>
      </c>
      <c r="D19" s="2">
        <v>7.3410000000000002</v>
      </c>
      <c r="E19" s="2">
        <v>7.4539999999999997</v>
      </c>
      <c r="F19" s="2">
        <v>7.4539999999999997</v>
      </c>
      <c r="G19" s="2">
        <v>7.4539999999999997</v>
      </c>
      <c r="H19" s="2"/>
      <c r="I19" s="2"/>
      <c r="J19" s="2">
        <v>7.4560000000000004</v>
      </c>
      <c r="K19" s="2"/>
      <c r="L19" s="2">
        <v>7.4560636999999996</v>
      </c>
      <c r="M19" s="3" t="s">
        <v>33</v>
      </c>
      <c r="N19" s="3" t="s">
        <v>34</v>
      </c>
    </row>
    <row r="20" spans="1:14" x14ac:dyDescent="0.35">
      <c r="A20" s="2" t="s">
        <v>51</v>
      </c>
      <c r="B20" s="2" t="s">
        <v>52</v>
      </c>
      <c r="C20" s="1" t="str">
        <f t="shared" si="0"/>
        <v>C3Br.2n/C3Br.3r</v>
      </c>
      <c r="D20" s="2">
        <v>7.375</v>
      </c>
      <c r="E20" s="2">
        <v>7.4889999999999999</v>
      </c>
      <c r="F20" s="2">
        <v>7.4889999999999999</v>
      </c>
      <c r="G20" s="2">
        <v>7.4889999999999999</v>
      </c>
      <c r="H20" s="2"/>
      <c r="I20" s="2"/>
      <c r="J20" s="2">
        <v>7.4989999999999997</v>
      </c>
      <c r="K20" s="2"/>
      <c r="L20" s="2">
        <v>7.4988922999999996</v>
      </c>
      <c r="M20" s="3" t="s">
        <v>33</v>
      </c>
      <c r="N20" s="3" t="s">
        <v>34</v>
      </c>
    </row>
    <row r="21" spans="1:14" x14ac:dyDescent="0.35">
      <c r="A21" s="2" t="s">
        <v>53</v>
      </c>
      <c r="B21" s="2" t="s">
        <v>54</v>
      </c>
      <c r="C21" s="1" t="str">
        <f t="shared" si="0"/>
        <v>C3Br.3r/C4n.1n</v>
      </c>
      <c r="D21" s="2">
        <v>7.4059999999999997</v>
      </c>
      <c r="E21" s="2">
        <v>7.5279999999999996</v>
      </c>
      <c r="F21" s="2">
        <v>7.5279999999999996</v>
      </c>
      <c r="G21" s="2">
        <v>7.5279999999999996</v>
      </c>
      <c r="H21" s="2"/>
      <c r="I21" s="2"/>
      <c r="J21" s="2">
        <v>7.5369999999999999</v>
      </c>
      <c r="K21" s="2"/>
      <c r="L21" s="2">
        <v>7.5372095000000003</v>
      </c>
      <c r="M21" s="3" t="s">
        <v>33</v>
      </c>
      <c r="N21" s="3" t="s">
        <v>34</v>
      </c>
    </row>
    <row r="22" spans="1:14" x14ac:dyDescent="0.35">
      <c r="A22" s="2" t="s">
        <v>55</v>
      </c>
      <c r="B22" s="2" t="s">
        <v>56</v>
      </c>
      <c r="C22" s="1" t="str">
        <f t="shared" si="0"/>
        <v>C4n.1n/C4n.1r</v>
      </c>
      <c r="D22" s="2">
        <v>7.5330000000000004</v>
      </c>
      <c r="E22" s="2">
        <v>7.6420000000000003</v>
      </c>
      <c r="F22" s="2">
        <v>7.6420000000000003</v>
      </c>
      <c r="G22" s="2">
        <v>7.6420000000000003</v>
      </c>
      <c r="H22" s="2"/>
      <c r="I22" s="2"/>
      <c r="J22" s="2">
        <v>7.65</v>
      </c>
      <c r="K22" s="2"/>
      <c r="L22" s="2">
        <v>7.6514163000000002</v>
      </c>
      <c r="M22" s="3" t="s">
        <v>33</v>
      </c>
      <c r="N22" s="3" t="s">
        <v>34</v>
      </c>
    </row>
    <row r="23" spans="1:14" x14ac:dyDescent="0.35">
      <c r="A23" s="2" t="s">
        <v>57</v>
      </c>
      <c r="B23" s="2" t="s">
        <v>58</v>
      </c>
      <c r="C23" s="1" t="str">
        <f t="shared" si="0"/>
        <v>C4n.1r/C4n.2n</v>
      </c>
      <c r="D23" s="2">
        <v>7.6180000000000003</v>
      </c>
      <c r="E23" s="2">
        <v>7.6950000000000003</v>
      </c>
      <c r="F23" s="2">
        <v>7.6950000000000003</v>
      </c>
      <c r="G23" s="2">
        <v>7.6950000000000003</v>
      </c>
      <c r="H23" s="2"/>
      <c r="I23" s="2"/>
      <c r="J23" s="2">
        <v>7.7009999999999996</v>
      </c>
      <c r="K23" s="2"/>
      <c r="L23" s="2">
        <v>7.7010807999999997</v>
      </c>
      <c r="M23" s="3" t="s">
        <v>33</v>
      </c>
      <c r="N23" s="3" t="s">
        <v>34</v>
      </c>
    </row>
    <row r="24" spans="1:14" x14ac:dyDescent="0.35">
      <c r="A24" s="2" t="s">
        <v>59</v>
      </c>
      <c r="B24" s="2" t="s">
        <v>60</v>
      </c>
      <c r="C24" s="1" t="str">
        <f t="shared" si="0"/>
        <v>C4n.2n/C4r.1r</v>
      </c>
      <c r="D24" s="2">
        <v>8.0269999999999992</v>
      </c>
      <c r="E24" s="2">
        <v>8.1080000000000005</v>
      </c>
      <c r="F24" s="2">
        <v>8.1080000000000005</v>
      </c>
      <c r="G24" s="2">
        <v>8.1080000000000005</v>
      </c>
      <c r="H24" s="2"/>
      <c r="I24" s="2"/>
      <c r="J24" s="2">
        <v>8.125</v>
      </c>
      <c r="K24" s="2"/>
      <c r="L24" s="2">
        <v>8.1072825999999996</v>
      </c>
      <c r="M24" s="3" t="s">
        <v>33</v>
      </c>
      <c r="N24" s="3" t="s">
        <v>34</v>
      </c>
    </row>
    <row r="25" spans="1:14" x14ac:dyDescent="0.35">
      <c r="A25" s="2" t="s">
        <v>61</v>
      </c>
      <c r="B25" s="2" t="s">
        <v>62</v>
      </c>
      <c r="C25" s="1" t="str">
        <f t="shared" si="0"/>
        <v>C4r.1r/C4r.1n</v>
      </c>
      <c r="D25" s="2">
        <v>8.1739999999999995</v>
      </c>
      <c r="E25" s="2">
        <v>8.2539999999999996</v>
      </c>
      <c r="F25" s="2">
        <v>8.2539999999999996</v>
      </c>
      <c r="G25" s="2">
        <v>8.2539999999999996</v>
      </c>
      <c r="H25" s="2"/>
      <c r="I25" s="2"/>
      <c r="J25" s="2">
        <v>8.2569999999999997</v>
      </c>
      <c r="K25" s="2"/>
      <c r="L25" s="2">
        <v>8.2357492000000008</v>
      </c>
      <c r="M25" s="3" t="s">
        <v>33</v>
      </c>
      <c r="N25" s="3" t="s">
        <v>34</v>
      </c>
    </row>
    <row r="26" spans="1:14" x14ac:dyDescent="0.35">
      <c r="A26" s="2" t="s">
        <v>63</v>
      </c>
      <c r="B26" s="2" t="s">
        <v>64</v>
      </c>
      <c r="C26" s="1" t="str">
        <f>A26&amp;"/"&amp;A27</f>
        <v>C4r.1n/C4r.2r</v>
      </c>
      <c r="D26" s="2">
        <v>8.2050000000000001</v>
      </c>
      <c r="E26" s="2">
        <v>8.3000000000000007</v>
      </c>
      <c r="F26" s="2">
        <v>8.3000000000000007</v>
      </c>
      <c r="G26" s="2">
        <v>8.3000000000000007</v>
      </c>
      <c r="H26" s="2"/>
      <c r="I26" s="2"/>
      <c r="J26" s="2">
        <v>8.3000000000000007</v>
      </c>
      <c r="K26" s="1" t="s">
        <v>65</v>
      </c>
      <c r="L26" s="2">
        <v>8.3000000000000007</v>
      </c>
      <c r="M26" s="3" t="s">
        <v>14</v>
      </c>
    </row>
    <row r="27" spans="1:14" x14ac:dyDescent="0.35">
      <c r="A27" s="2" t="s">
        <v>66</v>
      </c>
      <c r="B27" s="2" t="s">
        <v>67</v>
      </c>
      <c r="C27" s="1" t="str">
        <f t="shared" si="0"/>
        <v>C4r.2r/C4An</v>
      </c>
      <c r="D27" s="2">
        <v>8.6310000000000002</v>
      </c>
      <c r="E27" s="2">
        <v>8.7690000000000001</v>
      </c>
      <c r="F27" s="2">
        <v>8.7710000000000008</v>
      </c>
      <c r="G27" s="2">
        <v>8.7710000000000008</v>
      </c>
      <c r="H27" s="2"/>
      <c r="I27" s="2"/>
      <c r="J27" s="2">
        <v>8.7710000000000008</v>
      </c>
      <c r="K27" s="2"/>
      <c r="L27" s="2">
        <v>8.7710000000000008</v>
      </c>
      <c r="M27" s="3" t="s">
        <v>14</v>
      </c>
    </row>
    <row r="28" spans="1:14" x14ac:dyDescent="0.35">
      <c r="A28" s="2" t="s">
        <v>68</v>
      </c>
      <c r="B28" s="2" t="s">
        <v>69</v>
      </c>
      <c r="C28" s="1" t="str">
        <f t="shared" si="0"/>
        <v>C4An/C4Ar.1r</v>
      </c>
      <c r="D28" s="2">
        <v>8.9450000000000003</v>
      </c>
      <c r="E28" s="2">
        <v>9.0980000000000008</v>
      </c>
      <c r="F28" s="2">
        <v>9.1050000000000004</v>
      </c>
      <c r="G28" s="2">
        <v>9.1050000000000004</v>
      </c>
      <c r="H28" s="2"/>
      <c r="I28" s="2"/>
      <c r="J28" s="2">
        <v>9.1050000000000004</v>
      </c>
      <c r="K28" s="2"/>
      <c r="L28" s="2">
        <v>9.1050000000000004</v>
      </c>
      <c r="M28" s="3" t="s">
        <v>14</v>
      </c>
    </row>
    <row r="29" spans="1:14" x14ac:dyDescent="0.35">
      <c r="A29" s="2" t="s">
        <v>70</v>
      </c>
      <c r="B29" s="2" t="s">
        <v>71</v>
      </c>
      <c r="C29" s="1" t="str">
        <f t="shared" si="0"/>
        <v>C4Ar.1r/C4Ar.1n</v>
      </c>
      <c r="D29" s="2">
        <v>9.1419999999999995</v>
      </c>
      <c r="E29" s="2">
        <v>9.3119999999999994</v>
      </c>
      <c r="F29" s="2">
        <v>9.3109999999999999</v>
      </c>
      <c r="G29" s="2">
        <v>9.3109999999999999</v>
      </c>
      <c r="H29" s="2"/>
      <c r="I29" s="2"/>
      <c r="J29" s="2">
        <v>9.3109999999999999</v>
      </c>
      <c r="K29" s="2"/>
      <c r="L29" s="2">
        <v>9.3109999999999999</v>
      </c>
      <c r="M29" s="3" t="s">
        <v>14</v>
      </c>
    </row>
    <row r="30" spans="1:14" x14ac:dyDescent="0.35">
      <c r="A30" s="2" t="s">
        <v>72</v>
      </c>
      <c r="B30" s="2" t="s">
        <v>73</v>
      </c>
      <c r="C30" s="1" t="str">
        <f t="shared" si="0"/>
        <v>C4Ar.1n/C4Ar.2r</v>
      </c>
      <c r="D30" s="2">
        <v>9.218</v>
      </c>
      <c r="E30" s="2">
        <v>9.4090000000000007</v>
      </c>
      <c r="F30" s="2">
        <v>9.4260000000000002</v>
      </c>
      <c r="G30" s="2">
        <v>9.4260000000000002</v>
      </c>
      <c r="H30" s="2"/>
      <c r="I30" s="2"/>
      <c r="J30" s="2">
        <v>9.4260000000000002</v>
      </c>
      <c r="K30" s="2"/>
      <c r="L30" s="2">
        <v>9.4260000000000002</v>
      </c>
      <c r="M30" s="3" t="s">
        <v>14</v>
      </c>
    </row>
    <row r="31" spans="1:14" x14ac:dyDescent="0.35">
      <c r="A31" s="2" t="s">
        <v>74</v>
      </c>
      <c r="B31" s="2" t="s">
        <v>75</v>
      </c>
      <c r="C31" s="1" t="str">
        <f t="shared" si="0"/>
        <v>C4Ar.2r/C4Ar.2n</v>
      </c>
      <c r="D31" s="2">
        <v>9.4819999999999993</v>
      </c>
      <c r="E31" s="2">
        <v>9.6560000000000006</v>
      </c>
      <c r="F31" s="2">
        <v>9.6470000000000002</v>
      </c>
      <c r="G31" s="2">
        <v>9.6470000000000002</v>
      </c>
      <c r="H31" s="2"/>
      <c r="I31" s="2"/>
      <c r="J31" s="2">
        <v>9.6470000000000002</v>
      </c>
      <c r="K31" s="2"/>
      <c r="L31" s="2">
        <v>9.6470000000000002</v>
      </c>
      <c r="M31" s="3" t="s">
        <v>14</v>
      </c>
    </row>
    <row r="32" spans="1:14" x14ac:dyDescent="0.35">
      <c r="A32" s="2" t="s">
        <v>76</v>
      </c>
      <c r="B32" s="2" t="s">
        <v>77</v>
      </c>
      <c r="C32" s="1" t="str">
        <f t="shared" si="0"/>
        <v>C4Ar.2n/C4Ar.3r</v>
      </c>
      <c r="D32" s="2">
        <v>9.5429999999999993</v>
      </c>
      <c r="E32" s="2">
        <v>9.7170000000000005</v>
      </c>
      <c r="F32" s="2">
        <v>9.7210000000000001</v>
      </c>
      <c r="G32" s="2">
        <v>9.7210000000000001</v>
      </c>
      <c r="H32" s="2"/>
      <c r="I32" s="2"/>
      <c r="J32" s="2">
        <v>9.7210000000000001</v>
      </c>
      <c r="K32" s="2"/>
      <c r="L32" s="2">
        <v>9.7210000000000001</v>
      </c>
      <c r="M32" s="3" t="s">
        <v>14</v>
      </c>
    </row>
    <row r="33" spans="1:13" x14ac:dyDescent="0.35">
      <c r="A33" s="2" t="s">
        <v>78</v>
      </c>
      <c r="B33" s="2" t="s">
        <v>79</v>
      </c>
      <c r="C33" s="1" t="str">
        <f t="shared" si="0"/>
        <v>C4Ar.3r/C5n.1n</v>
      </c>
      <c r="D33" s="2">
        <v>9.6389999999999993</v>
      </c>
      <c r="E33" s="2">
        <v>9.7789999999999999</v>
      </c>
      <c r="F33" s="2">
        <v>9.7859999999999996</v>
      </c>
      <c r="G33" s="2">
        <v>9.7859999999999996</v>
      </c>
      <c r="H33" s="2"/>
      <c r="I33" s="2"/>
      <c r="J33" s="2">
        <v>9.7859999999999996</v>
      </c>
      <c r="K33" s="2"/>
      <c r="L33" s="2">
        <v>9.7859999999999996</v>
      </c>
      <c r="M33" s="3" t="s">
        <v>14</v>
      </c>
    </row>
    <row r="34" spans="1:13" x14ac:dyDescent="0.35">
      <c r="A34" s="2" t="s">
        <v>80</v>
      </c>
      <c r="B34" s="2" t="s">
        <v>81</v>
      </c>
      <c r="C34" s="1" t="str">
        <f t="shared" si="0"/>
        <v>C5n.1n/C5n.1r</v>
      </c>
      <c r="D34" s="2">
        <v>9.8800000000000008</v>
      </c>
      <c r="E34" s="2">
        <v>9.9339999999999993</v>
      </c>
      <c r="F34" s="2">
        <v>9.9369999999999994</v>
      </c>
      <c r="G34" s="2">
        <v>9.9369999999999994</v>
      </c>
      <c r="H34" s="2"/>
      <c r="I34" s="2"/>
      <c r="J34" s="2">
        <v>9.9369999999999994</v>
      </c>
      <c r="K34" s="2"/>
      <c r="L34" s="2">
        <v>9.9369999999999994</v>
      </c>
      <c r="M34" s="3" t="s">
        <v>14</v>
      </c>
    </row>
    <row r="35" spans="1:13" x14ac:dyDescent="0.35">
      <c r="A35" s="2" t="s">
        <v>82</v>
      </c>
      <c r="B35" s="2" t="s">
        <v>83</v>
      </c>
      <c r="C35" s="1" t="str">
        <f t="shared" si="0"/>
        <v>C5n.1r/C5n.2n</v>
      </c>
      <c r="D35" s="2">
        <v>9.92</v>
      </c>
      <c r="E35" s="2">
        <v>9.9870000000000001</v>
      </c>
      <c r="F35" s="2">
        <v>9.984</v>
      </c>
      <c r="G35" s="2">
        <v>9.984</v>
      </c>
      <c r="H35" s="2"/>
      <c r="I35" s="2"/>
      <c r="J35" s="2">
        <v>9.984</v>
      </c>
      <c r="K35" s="2"/>
      <c r="L35" s="2">
        <v>9.984</v>
      </c>
      <c r="M35" s="3" t="s">
        <v>14</v>
      </c>
    </row>
    <row r="36" spans="1:13" x14ac:dyDescent="0.35">
      <c r="A36" s="2" t="s">
        <v>84</v>
      </c>
      <c r="B36" s="2" t="s">
        <v>85</v>
      </c>
      <c r="C36" s="1" t="str">
        <f t="shared" si="0"/>
        <v>C5n.2n/C5r.1r</v>
      </c>
      <c r="D36" s="2">
        <v>10.839</v>
      </c>
      <c r="E36" s="2">
        <v>11.04</v>
      </c>
      <c r="F36" s="2">
        <v>11.055999999999999</v>
      </c>
      <c r="G36" s="2">
        <v>11.055999999999999</v>
      </c>
      <c r="H36" s="2"/>
      <c r="I36" s="2"/>
      <c r="J36" s="2">
        <v>11.055999999999999</v>
      </c>
      <c r="K36" s="2"/>
      <c r="L36" s="2">
        <v>11.055999999999999</v>
      </c>
      <c r="M36" s="3" t="s">
        <v>14</v>
      </c>
    </row>
    <row r="37" spans="1:13" x14ac:dyDescent="0.35">
      <c r="A37" s="2" t="s">
        <v>86</v>
      </c>
      <c r="B37" s="2" t="s">
        <v>87</v>
      </c>
      <c r="C37" s="1" t="str">
        <f t="shared" si="0"/>
        <v>C5r.1r/C5r.1n</v>
      </c>
      <c r="D37" s="2">
        <v>10.943</v>
      </c>
      <c r="E37" s="2">
        <v>11.118</v>
      </c>
      <c r="F37" s="2">
        <v>11.146000000000001</v>
      </c>
      <c r="G37" s="2">
        <v>11.146000000000001</v>
      </c>
      <c r="H37" s="2"/>
      <c r="I37" s="2"/>
      <c r="J37" s="2">
        <v>11.146000000000001</v>
      </c>
      <c r="K37" s="2"/>
      <c r="L37" s="2">
        <v>11.146000000000001</v>
      </c>
      <c r="M37" s="3" t="s">
        <v>14</v>
      </c>
    </row>
    <row r="38" spans="1:13" x14ac:dyDescent="0.35">
      <c r="A38" s="2" t="s">
        <v>88</v>
      </c>
      <c r="B38" s="2" t="s">
        <v>89</v>
      </c>
      <c r="C38" s="1" t="str">
        <f>A38&amp;"/"&amp;A39</f>
        <v>C5r.1n/C5r.2r</v>
      </c>
      <c r="D38" s="2">
        <v>10.991</v>
      </c>
      <c r="E38" s="2">
        <v>11.154</v>
      </c>
      <c r="F38" s="2">
        <v>11.188000000000001</v>
      </c>
      <c r="G38" s="2">
        <v>11.188000000000001</v>
      </c>
      <c r="H38" s="2"/>
      <c r="I38" s="2"/>
      <c r="J38" s="2">
        <v>11.188000000000001</v>
      </c>
      <c r="K38" s="2"/>
      <c r="L38" s="2">
        <v>11.188000000000001</v>
      </c>
      <c r="M38" s="3" t="s">
        <v>14</v>
      </c>
    </row>
    <row r="39" spans="1:13" x14ac:dyDescent="0.35">
      <c r="A39" s="2" t="s">
        <v>90</v>
      </c>
      <c r="B39" s="2" t="s">
        <v>91</v>
      </c>
      <c r="C39" s="1" t="str">
        <f>A39&amp;"/"&amp;A40</f>
        <v>C5r.2r/C5r.2n</v>
      </c>
      <c r="D39" s="2">
        <v>11.343</v>
      </c>
      <c r="E39" s="2">
        <v>11.554</v>
      </c>
      <c r="F39" s="2">
        <v>11.592000000000001</v>
      </c>
      <c r="G39" s="2">
        <v>11.592000000000001</v>
      </c>
      <c r="H39" s="2"/>
      <c r="I39" s="2"/>
      <c r="J39" s="2">
        <v>11.592000000000001</v>
      </c>
      <c r="K39" s="2"/>
      <c r="L39" s="2">
        <v>11.592000000000001</v>
      </c>
      <c r="M39" s="3" t="s">
        <v>14</v>
      </c>
    </row>
    <row r="40" spans="1:13" x14ac:dyDescent="0.35">
      <c r="A40" s="2" t="s">
        <v>92</v>
      </c>
      <c r="B40" s="2" t="s">
        <v>93</v>
      </c>
      <c r="C40" s="1" t="str">
        <f t="shared" si="0"/>
        <v>C5r.2n/C5r.3r</v>
      </c>
      <c r="D40" s="2">
        <v>11.428000000000001</v>
      </c>
      <c r="E40" s="2">
        <v>11.614000000000001</v>
      </c>
      <c r="F40" s="2">
        <v>11.657</v>
      </c>
      <c r="G40" s="2">
        <v>11.657</v>
      </c>
      <c r="H40" s="2"/>
      <c r="I40" s="2"/>
      <c r="J40" s="2">
        <v>11.657</v>
      </c>
      <c r="K40" s="2"/>
      <c r="L40" s="2">
        <v>11.657</v>
      </c>
      <c r="M40" s="3" t="s">
        <v>14</v>
      </c>
    </row>
    <row r="41" spans="1:13" x14ac:dyDescent="0.35">
      <c r="A41" s="2" t="s">
        <v>94</v>
      </c>
      <c r="B41" s="2" t="s">
        <v>95</v>
      </c>
      <c r="C41" s="1" t="str">
        <f t="shared" si="0"/>
        <v>C5r.3r/C5An.1n</v>
      </c>
      <c r="D41" s="2">
        <v>11.840999999999999</v>
      </c>
      <c r="E41" s="2">
        <v>12.013999999999999</v>
      </c>
      <c r="F41" s="2">
        <v>12.048999999999999</v>
      </c>
      <c r="G41" s="2">
        <v>12.048999999999999</v>
      </c>
      <c r="H41" s="2"/>
      <c r="I41" s="2"/>
      <c r="J41" s="2">
        <v>12.048999999999999</v>
      </c>
      <c r="K41" s="2"/>
      <c r="L41" s="2">
        <v>12.048999999999999</v>
      </c>
      <c r="M41" s="3" t="s">
        <v>14</v>
      </c>
    </row>
    <row r="42" spans="1:13" x14ac:dyDescent="0.35">
      <c r="A42" s="2" t="s">
        <v>96</v>
      </c>
      <c r="B42" s="2" t="s">
        <v>97</v>
      </c>
      <c r="C42" s="1" t="str">
        <f t="shared" si="0"/>
        <v>C5An.1n/C5An.1r</v>
      </c>
      <c r="D42" s="2">
        <v>11.988</v>
      </c>
      <c r="E42" s="2">
        <v>12.116</v>
      </c>
      <c r="F42" s="2">
        <v>12.173999999999999</v>
      </c>
      <c r="G42" s="2">
        <v>12.173999999999999</v>
      </c>
      <c r="H42" s="2"/>
      <c r="I42" s="2"/>
      <c r="J42" s="2">
        <v>12.173999999999999</v>
      </c>
      <c r="K42" s="2"/>
      <c r="L42" s="2">
        <v>12.173999999999999</v>
      </c>
      <c r="M42" s="3" t="s">
        <v>14</v>
      </c>
    </row>
    <row r="43" spans="1:13" x14ac:dyDescent="0.35">
      <c r="A43" s="2" t="s">
        <v>98</v>
      </c>
      <c r="B43" s="2" t="s">
        <v>99</v>
      </c>
      <c r="C43" s="1" t="str">
        <f t="shared" si="0"/>
        <v>C5An.1r/C5An.2n</v>
      </c>
      <c r="D43" s="2">
        <v>12.096</v>
      </c>
      <c r="E43" s="2">
        <v>12.207000000000001</v>
      </c>
      <c r="F43" s="2">
        <v>12.272</v>
      </c>
      <c r="G43" s="2">
        <v>12.272</v>
      </c>
      <c r="H43" s="2"/>
      <c r="I43" s="2"/>
      <c r="J43" s="2">
        <v>12.272</v>
      </c>
      <c r="K43" s="2"/>
      <c r="L43" s="2">
        <v>12.272</v>
      </c>
      <c r="M43" s="3" t="s">
        <v>14</v>
      </c>
    </row>
    <row r="44" spans="1:13" x14ac:dyDescent="0.35">
      <c r="A44" s="2" t="s">
        <v>100</v>
      </c>
      <c r="B44" s="2" t="s">
        <v>101</v>
      </c>
      <c r="C44" s="1" t="str">
        <f t="shared" si="0"/>
        <v>C5An.2n/C5Ar.1r</v>
      </c>
      <c r="D44" s="2">
        <v>12.32</v>
      </c>
      <c r="E44" s="2">
        <v>12.414999999999999</v>
      </c>
      <c r="F44" s="2">
        <v>12.474</v>
      </c>
      <c r="G44" s="2">
        <v>12.474</v>
      </c>
      <c r="H44" s="2"/>
      <c r="I44" s="2"/>
      <c r="J44" s="2">
        <v>12.474</v>
      </c>
      <c r="K44" s="2"/>
      <c r="L44" s="2">
        <v>12.474</v>
      </c>
      <c r="M44" s="3" t="s">
        <v>14</v>
      </c>
    </row>
    <row r="45" spans="1:13" x14ac:dyDescent="0.35">
      <c r="A45" s="2" t="s">
        <v>102</v>
      </c>
      <c r="B45" s="2" t="s">
        <v>103</v>
      </c>
      <c r="C45" s="1" t="str">
        <f t="shared" si="0"/>
        <v>C5Ar.1r/C5Ar.1n</v>
      </c>
      <c r="D45" s="2">
        <v>12.605</v>
      </c>
      <c r="E45" s="2">
        <v>12.73</v>
      </c>
      <c r="F45" s="2">
        <v>12.734999999999999</v>
      </c>
      <c r="G45" s="2">
        <v>12.734999999999999</v>
      </c>
      <c r="H45" s="2"/>
      <c r="I45" s="2"/>
      <c r="J45" s="2">
        <v>12.734999999999999</v>
      </c>
      <c r="K45" s="2"/>
      <c r="L45" s="2">
        <v>12.734999999999999</v>
      </c>
      <c r="M45" s="3" t="s">
        <v>14</v>
      </c>
    </row>
    <row r="46" spans="1:13" x14ac:dyDescent="0.35">
      <c r="A46" s="2" t="s">
        <v>104</v>
      </c>
      <c r="B46" s="2" t="s">
        <v>105</v>
      </c>
      <c r="C46" s="1" t="str">
        <f t="shared" si="0"/>
        <v>C5Ar.1n/C5Ar.2r</v>
      </c>
      <c r="D46" s="2">
        <v>12.637</v>
      </c>
      <c r="E46" s="2">
        <v>12.765000000000001</v>
      </c>
      <c r="F46" s="2">
        <v>12.77</v>
      </c>
      <c r="G46" s="2">
        <v>12.77</v>
      </c>
      <c r="H46" s="2"/>
      <c r="I46" s="2"/>
      <c r="J46" s="2">
        <v>12.77</v>
      </c>
      <c r="K46" s="2"/>
      <c r="L46" s="2">
        <v>12.77</v>
      </c>
      <c r="M46" s="3" t="s">
        <v>14</v>
      </c>
    </row>
    <row r="47" spans="1:13" x14ac:dyDescent="0.35">
      <c r="A47" s="2" t="s">
        <v>106</v>
      </c>
      <c r="B47" s="2" t="s">
        <v>107</v>
      </c>
      <c r="C47" s="1" t="str">
        <f t="shared" si="0"/>
        <v>C5Ar.2r/C5Ar.2n</v>
      </c>
      <c r="D47" s="2">
        <v>12.705</v>
      </c>
      <c r="E47" s="2">
        <v>12.82</v>
      </c>
      <c r="F47" s="2">
        <v>12.829000000000001</v>
      </c>
      <c r="G47" s="2">
        <v>12.829000000000001</v>
      </c>
      <c r="H47" s="2"/>
      <c r="I47" s="2"/>
      <c r="J47" s="2">
        <v>12.829000000000001</v>
      </c>
      <c r="K47" s="2"/>
      <c r="L47" s="2">
        <v>12.829000000000001</v>
      </c>
      <c r="M47" s="3" t="s">
        <v>14</v>
      </c>
    </row>
    <row r="48" spans="1:13" x14ac:dyDescent="0.35">
      <c r="A48" s="2" t="s">
        <v>108</v>
      </c>
      <c r="B48" s="2" t="s">
        <v>109</v>
      </c>
      <c r="C48" s="1" t="str">
        <f t="shared" si="0"/>
        <v>C5Ar.2n/C5Ar.3r</v>
      </c>
      <c r="D48" s="2">
        <v>12.752000000000001</v>
      </c>
      <c r="E48" s="2">
        <v>12.878</v>
      </c>
      <c r="F48" s="2">
        <v>12.887</v>
      </c>
      <c r="G48" s="2">
        <v>12.887</v>
      </c>
      <c r="H48" s="2"/>
      <c r="I48" s="2"/>
      <c r="J48" s="2">
        <v>12.887</v>
      </c>
      <c r="K48" s="2"/>
      <c r="L48" s="2">
        <v>12.887</v>
      </c>
      <c r="M48" s="3" t="s">
        <v>14</v>
      </c>
    </row>
    <row r="49" spans="1:13" x14ac:dyDescent="0.35">
      <c r="A49" s="2" t="s">
        <v>110</v>
      </c>
      <c r="B49" s="2" t="s">
        <v>111</v>
      </c>
      <c r="C49" s="1" t="str">
        <f t="shared" si="0"/>
        <v>C5Ar.3r/C5AAn</v>
      </c>
      <c r="D49" s="2">
        <v>12.929</v>
      </c>
      <c r="E49" s="2">
        <v>13.015000000000001</v>
      </c>
      <c r="F49" s="2">
        <v>13.032</v>
      </c>
      <c r="G49" s="2">
        <v>13.032</v>
      </c>
      <c r="H49" s="2"/>
      <c r="I49" s="2"/>
      <c r="J49" s="2">
        <v>13.032</v>
      </c>
      <c r="K49" s="2"/>
      <c r="L49" s="2">
        <v>13.032</v>
      </c>
      <c r="M49" s="3" t="s">
        <v>14</v>
      </c>
    </row>
    <row r="50" spans="1:13" x14ac:dyDescent="0.35">
      <c r="A50" s="2" t="s">
        <v>112</v>
      </c>
      <c r="B50" s="2" t="s">
        <v>113</v>
      </c>
      <c r="C50" s="1" t="str">
        <f t="shared" si="0"/>
        <v>C5AAn/C5AAr</v>
      </c>
      <c r="D50" s="2">
        <v>13.083</v>
      </c>
      <c r="E50" s="2">
        <v>13.183</v>
      </c>
      <c r="F50" s="2">
        <v>13.183</v>
      </c>
      <c r="G50" s="2">
        <v>13.183</v>
      </c>
      <c r="H50" s="2"/>
      <c r="I50" s="2"/>
      <c r="J50" s="2">
        <v>13.183</v>
      </c>
      <c r="K50" s="2"/>
      <c r="L50" s="2">
        <v>13.183</v>
      </c>
      <c r="M50" s="3" t="s">
        <v>14</v>
      </c>
    </row>
    <row r="51" spans="1:13" x14ac:dyDescent="0.35">
      <c r="A51" s="2" t="s">
        <v>114</v>
      </c>
      <c r="B51" s="2" t="s">
        <v>115</v>
      </c>
      <c r="C51" s="1" t="str">
        <f t="shared" si="0"/>
        <v>C5AAr/C5ABn</v>
      </c>
      <c r="D51" s="2">
        <v>13.252000000000001</v>
      </c>
      <c r="E51" s="2">
        <v>13.369</v>
      </c>
      <c r="F51" s="2">
        <v>13.363</v>
      </c>
      <c r="G51" s="2">
        <v>13.363</v>
      </c>
      <c r="H51" s="2"/>
      <c r="I51" s="2"/>
      <c r="J51" s="2">
        <v>13.363</v>
      </c>
      <c r="K51" s="2"/>
      <c r="L51" s="2">
        <v>13.363</v>
      </c>
      <c r="M51" s="3" t="s">
        <v>14</v>
      </c>
    </row>
    <row r="52" spans="1:13" x14ac:dyDescent="0.35">
      <c r="A52" s="2" t="s">
        <v>116</v>
      </c>
      <c r="B52" s="2" t="s">
        <v>117</v>
      </c>
      <c r="C52" s="1" t="str">
        <f t="shared" si="0"/>
        <v>C5ABn/C5ABr</v>
      </c>
      <c r="D52" s="2">
        <v>13.465999999999999</v>
      </c>
      <c r="E52" s="2">
        <v>13.605</v>
      </c>
      <c r="F52" s="2">
        <v>13.608000000000001</v>
      </c>
      <c r="G52" s="2">
        <v>13.608000000000001</v>
      </c>
      <c r="H52" s="2"/>
      <c r="I52" s="2"/>
      <c r="J52" s="2">
        <v>13.608000000000001</v>
      </c>
      <c r="K52" s="2"/>
      <c r="L52" s="2">
        <v>13.608000000000001</v>
      </c>
      <c r="M52" s="3" t="s">
        <v>14</v>
      </c>
    </row>
    <row r="53" spans="1:13" x14ac:dyDescent="0.35">
      <c r="A53" s="2" t="s">
        <v>118</v>
      </c>
      <c r="B53" s="2" t="s">
        <v>119</v>
      </c>
      <c r="C53" s="1" t="str">
        <f t="shared" si="0"/>
        <v>C5ABr/C5ACn</v>
      </c>
      <c r="D53" s="2">
        <v>13.666</v>
      </c>
      <c r="E53" s="2">
        <v>13.734</v>
      </c>
      <c r="F53" s="2">
        <v>13.739000000000001</v>
      </c>
      <c r="G53" s="2">
        <v>13.739000000000001</v>
      </c>
      <c r="H53" s="2"/>
      <c r="I53" s="2"/>
      <c r="J53" s="2">
        <v>13.739000000000001</v>
      </c>
      <c r="K53" s="2"/>
      <c r="L53" s="2">
        <v>13.739000000000001</v>
      </c>
      <c r="M53" s="3" t="s">
        <v>14</v>
      </c>
    </row>
    <row r="54" spans="1:13" x14ac:dyDescent="0.35">
      <c r="A54" s="2" t="s">
        <v>120</v>
      </c>
      <c r="B54" s="2" t="s">
        <v>121</v>
      </c>
      <c r="C54" s="1" t="str">
        <f t="shared" si="0"/>
        <v>C5ACn/C5ACr</v>
      </c>
      <c r="D54" s="2">
        <v>14.053000000000001</v>
      </c>
      <c r="E54" s="2">
        <v>14.095000000000001</v>
      </c>
      <c r="F54" s="2">
        <v>14.07</v>
      </c>
      <c r="G54" s="2">
        <v>14.07</v>
      </c>
      <c r="H54" s="2"/>
      <c r="I54" s="2"/>
      <c r="J54" s="2">
        <v>14.07</v>
      </c>
      <c r="K54" s="2"/>
      <c r="L54" s="2">
        <v>14.07</v>
      </c>
      <c r="M54" s="3" t="s">
        <v>14</v>
      </c>
    </row>
    <row r="55" spans="1:13" x14ac:dyDescent="0.35">
      <c r="A55" s="2" t="s">
        <v>122</v>
      </c>
      <c r="B55" s="2" t="s">
        <v>123</v>
      </c>
      <c r="C55" s="1" t="str">
        <f t="shared" si="0"/>
        <v>C5ACr/C5ADn</v>
      </c>
      <c r="D55" s="2">
        <v>14.159000000000001</v>
      </c>
      <c r="E55" s="2">
        <v>14.194000000000001</v>
      </c>
      <c r="F55" s="2">
        <v>14.163</v>
      </c>
      <c r="G55" s="2">
        <v>14.163</v>
      </c>
      <c r="H55" s="2"/>
      <c r="I55" s="2"/>
      <c r="J55" s="2">
        <v>14.163</v>
      </c>
      <c r="K55" s="2"/>
      <c r="L55" s="2">
        <v>14.163</v>
      </c>
      <c r="M55" s="3" t="s">
        <v>14</v>
      </c>
    </row>
    <row r="56" spans="1:13" x14ac:dyDescent="0.35">
      <c r="A56" s="2" t="s">
        <v>124</v>
      </c>
      <c r="B56" s="2" t="s">
        <v>125</v>
      </c>
      <c r="C56" s="1" t="str">
        <f t="shared" si="0"/>
        <v>C5ADn/C5ADr</v>
      </c>
      <c r="D56" s="2">
        <v>14.606999999999999</v>
      </c>
      <c r="E56" s="2">
        <v>14.581</v>
      </c>
      <c r="F56" s="2">
        <v>14.609</v>
      </c>
      <c r="G56" s="2">
        <v>14.609</v>
      </c>
      <c r="H56" s="2"/>
      <c r="I56" s="2"/>
      <c r="J56" s="2">
        <v>14.609</v>
      </c>
      <c r="K56" s="2"/>
      <c r="L56" s="2">
        <v>14.609</v>
      </c>
      <c r="M56" s="3" t="s">
        <v>14</v>
      </c>
    </row>
    <row r="57" spans="1:13" x14ac:dyDescent="0.35">
      <c r="A57" s="2" t="s">
        <v>126</v>
      </c>
      <c r="B57" s="2" t="s">
        <v>127</v>
      </c>
      <c r="C57" s="1" t="str">
        <f t="shared" si="0"/>
        <v>C5ADr/C5Bn.1n</v>
      </c>
      <c r="D57" s="2">
        <v>14.8</v>
      </c>
      <c r="E57" s="2">
        <v>14.784000000000001</v>
      </c>
      <c r="F57" s="2">
        <v>14.775</v>
      </c>
      <c r="G57" s="2">
        <v>14.775</v>
      </c>
      <c r="H57" s="2"/>
      <c r="I57" s="2"/>
      <c r="J57" s="2">
        <v>14.775</v>
      </c>
      <c r="K57" s="2"/>
      <c r="L57" s="2">
        <v>14.775</v>
      </c>
      <c r="M57" s="3" t="s">
        <v>14</v>
      </c>
    </row>
    <row r="58" spans="1:13" x14ac:dyDescent="0.35">
      <c r="A58" s="2" t="s">
        <v>128</v>
      </c>
      <c r="B58" s="2" t="s">
        <v>129</v>
      </c>
      <c r="C58" s="1" t="str">
        <f t="shared" si="0"/>
        <v>C5Bn.1n/C5Bn.1r</v>
      </c>
      <c r="D58" s="2">
        <v>14.888</v>
      </c>
      <c r="E58" s="2">
        <v>14.877000000000001</v>
      </c>
      <c r="F58" s="2">
        <v>14.87</v>
      </c>
      <c r="G58" s="2">
        <v>14.87</v>
      </c>
      <c r="H58" s="2"/>
      <c r="I58" s="2"/>
      <c r="J58" s="2">
        <v>14.87</v>
      </c>
      <c r="K58" s="2"/>
      <c r="L58" s="2">
        <v>14.87</v>
      </c>
      <c r="M58" s="3" t="s">
        <v>14</v>
      </c>
    </row>
    <row r="59" spans="1:13" x14ac:dyDescent="0.35">
      <c r="A59" s="2" t="s">
        <v>130</v>
      </c>
      <c r="B59" s="2" t="s">
        <v>131</v>
      </c>
      <c r="C59" s="1" t="str">
        <f t="shared" si="0"/>
        <v>C5Bn.1r/C5Bn.2n</v>
      </c>
      <c r="D59" s="2">
        <v>15.034000000000001</v>
      </c>
      <c r="E59" s="2">
        <v>15.032</v>
      </c>
      <c r="F59" s="2">
        <v>15.032</v>
      </c>
      <c r="G59" s="2">
        <v>15.032</v>
      </c>
      <c r="H59" s="2"/>
      <c r="I59" s="2"/>
      <c r="J59" s="2">
        <v>15.04</v>
      </c>
      <c r="K59" s="1" t="s">
        <v>132</v>
      </c>
      <c r="L59" s="2">
        <v>15.032</v>
      </c>
      <c r="M59" s="3" t="s">
        <v>14</v>
      </c>
    </row>
    <row r="60" spans="1:13" x14ac:dyDescent="0.35">
      <c r="A60" s="2" t="s">
        <v>133</v>
      </c>
      <c r="B60" s="2" t="s">
        <v>134</v>
      </c>
      <c r="C60" s="1" t="str">
        <f t="shared" si="0"/>
        <v>C5Bn.2n/C5Br</v>
      </c>
      <c r="D60" s="2">
        <v>15.154999999999999</v>
      </c>
      <c r="E60" s="2">
        <v>15.16</v>
      </c>
      <c r="F60" s="2">
        <v>15.16</v>
      </c>
      <c r="G60" s="2">
        <v>15.16</v>
      </c>
      <c r="H60" s="2"/>
      <c r="I60" s="2"/>
      <c r="J60" s="2">
        <v>15.186</v>
      </c>
      <c r="K60" s="2"/>
      <c r="L60" s="2">
        <v>15.16</v>
      </c>
      <c r="M60" s="3" t="s">
        <v>14</v>
      </c>
    </row>
    <row r="61" spans="1:13" x14ac:dyDescent="0.35">
      <c r="A61" s="2" t="s">
        <v>135</v>
      </c>
      <c r="B61" s="2" t="s">
        <v>136</v>
      </c>
      <c r="C61" s="1" t="str">
        <f t="shared" si="0"/>
        <v>C5Br/C5Cn.1n</v>
      </c>
      <c r="D61" s="2">
        <v>16.013999999999999</v>
      </c>
      <c r="E61" s="2">
        <v>15.974</v>
      </c>
      <c r="F61" s="2">
        <v>15.974</v>
      </c>
      <c r="G61" s="2">
        <v>15.974</v>
      </c>
      <c r="H61" s="2"/>
      <c r="I61" s="2"/>
      <c r="J61" s="2">
        <v>15.994</v>
      </c>
      <c r="K61" s="2"/>
      <c r="L61" s="2">
        <v>15.974</v>
      </c>
      <c r="M61" s="3" t="s">
        <v>14</v>
      </c>
    </row>
    <row r="62" spans="1:13" x14ac:dyDescent="0.35">
      <c r="A62" s="2" t="s">
        <v>137</v>
      </c>
      <c r="B62" s="2" t="s">
        <v>138</v>
      </c>
      <c r="C62" s="1" t="str">
        <f t="shared" ref="C62:C101" si="1">A62&amp;"/"&amp;A63</f>
        <v>C5Cn.1n/C5Cn.1r</v>
      </c>
      <c r="D62" s="2">
        <v>16.292999999999999</v>
      </c>
      <c r="E62" s="2">
        <v>16.268000000000001</v>
      </c>
      <c r="F62" s="2">
        <v>16.268000000000001</v>
      </c>
      <c r="G62" s="2">
        <v>16.268000000000001</v>
      </c>
      <c r="H62" s="2"/>
      <c r="I62" s="2"/>
      <c r="J62" s="2">
        <v>16.260999999999999</v>
      </c>
      <c r="K62" s="2"/>
      <c r="L62" s="2">
        <v>16.268000000000001</v>
      </c>
      <c r="M62" s="3" t="s">
        <v>14</v>
      </c>
    </row>
    <row r="63" spans="1:13" x14ac:dyDescent="0.35">
      <c r="A63" s="2" t="s">
        <v>139</v>
      </c>
      <c r="B63" s="2" t="s">
        <v>140</v>
      </c>
      <c r="C63" s="1" t="str">
        <f t="shared" si="1"/>
        <v>C5Cn.1r/C5Cn.2n</v>
      </c>
      <c r="D63" s="2">
        <v>16.327000000000002</v>
      </c>
      <c r="E63" s="2">
        <v>16.303000000000001</v>
      </c>
      <c r="F63" s="2">
        <v>16.303000000000001</v>
      </c>
      <c r="G63" s="2">
        <v>16.303000000000001</v>
      </c>
      <c r="H63" s="2"/>
      <c r="I63" s="2"/>
      <c r="J63" s="2">
        <v>16.350999999999999</v>
      </c>
      <c r="K63" s="2"/>
      <c r="L63" s="2">
        <v>16.303000000000001</v>
      </c>
      <c r="M63" s="3" t="s">
        <v>14</v>
      </c>
    </row>
    <row r="64" spans="1:13" x14ac:dyDescent="0.35">
      <c r="A64" s="2" t="s">
        <v>141</v>
      </c>
      <c r="B64" s="2" t="s">
        <v>142</v>
      </c>
      <c r="C64" s="1" t="str">
        <f t="shared" si="1"/>
        <v>C5Cn.2n/C5Cn.2r</v>
      </c>
      <c r="D64" s="2">
        <v>16.488</v>
      </c>
      <c r="E64" s="2">
        <v>16.472000000000001</v>
      </c>
      <c r="F64" s="2">
        <v>16.472000000000001</v>
      </c>
      <c r="G64" s="2">
        <v>16.472000000000001</v>
      </c>
      <c r="H64" s="2"/>
      <c r="I64" s="2"/>
      <c r="J64" s="2">
        <v>16.434000000000001</v>
      </c>
      <c r="K64" s="2"/>
      <c r="L64" s="2">
        <v>16.472000000000001</v>
      </c>
      <c r="M64" s="3" t="s">
        <v>14</v>
      </c>
    </row>
    <row r="65" spans="1:14" x14ac:dyDescent="0.35">
      <c r="A65" s="2" t="s">
        <v>143</v>
      </c>
      <c r="B65" s="2" t="s">
        <v>144</v>
      </c>
      <c r="C65" s="1" t="str">
        <f t="shared" si="1"/>
        <v>C5Cn.2r/C5Cn.3n</v>
      </c>
      <c r="D65" s="2">
        <v>16.556000000000001</v>
      </c>
      <c r="E65" s="2">
        <v>16.542999999999999</v>
      </c>
      <c r="F65" s="2">
        <v>16.542999999999999</v>
      </c>
      <c r="G65" s="2">
        <v>16.542999999999999</v>
      </c>
      <c r="H65" s="2"/>
      <c r="I65" s="2"/>
      <c r="J65" s="2">
        <v>16.532</v>
      </c>
      <c r="K65" s="2"/>
      <c r="L65" s="2">
        <v>16.542999999999999</v>
      </c>
      <c r="M65" s="3" t="s">
        <v>14</v>
      </c>
    </row>
    <row r="66" spans="1:14" x14ac:dyDescent="0.35">
      <c r="A66" s="2" t="s">
        <v>145</v>
      </c>
      <c r="B66" s="2" t="s">
        <v>146</v>
      </c>
      <c r="C66" s="1" t="str">
        <f t="shared" si="1"/>
        <v>C5Cn.3n/C5Cr</v>
      </c>
      <c r="D66" s="2">
        <v>16.725999999999999</v>
      </c>
      <c r="E66" s="2">
        <v>16.721</v>
      </c>
      <c r="F66" s="2">
        <v>16.721</v>
      </c>
      <c r="G66" s="2">
        <v>16.721</v>
      </c>
      <c r="H66" s="2"/>
      <c r="I66" s="2"/>
      <c r="J66" s="2">
        <v>16.637</v>
      </c>
      <c r="K66" s="2"/>
      <c r="L66" s="2">
        <v>16.721</v>
      </c>
      <c r="M66" s="3" t="s">
        <v>14</v>
      </c>
    </row>
    <row r="67" spans="1:14" x14ac:dyDescent="0.35">
      <c r="A67" s="2" t="s">
        <v>147</v>
      </c>
      <c r="B67" s="2" t="s">
        <v>148</v>
      </c>
      <c r="C67" s="1" t="str">
        <f t="shared" si="1"/>
        <v>C5Cr/C5Dn</v>
      </c>
      <c r="D67" s="2">
        <v>17.277000000000001</v>
      </c>
      <c r="E67" s="2">
        <v>17.234999999999999</v>
      </c>
      <c r="F67" s="2">
        <v>17.234999999999999</v>
      </c>
      <c r="G67" s="2">
        <v>17.234999999999999</v>
      </c>
      <c r="H67" s="2"/>
      <c r="I67" s="2"/>
      <c r="J67" s="2">
        <v>17.154</v>
      </c>
      <c r="K67" s="2"/>
      <c r="L67" s="2">
        <v>17.234999999999999</v>
      </c>
      <c r="M67" s="3" t="s">
        <v>149</v>
      </c>
    </row>
    <row r="68" spans="1:14" x14ac:dyDescent="0.35">
      <c r="A68" s="2" t="s">
        <v>150</v>
      </c>
      <c r="B68" s="2" t="s">
        <v>151</v>
      </c>
      <c r="C68" s="1" t="str">
        <f t="shared" si="1"/>
        <v>C5Dn/C5Dr.1r</v>
      </c>
      <c r="D68" s="2">
        <v>17.614999999999998</v>
      </c>
      <c r="E68" s="2">
        <v>17.533000000000001</v>
      </c>
      <c r="F68" s="2">
        <v>17.533000000000001</v>
      </c>
      <c r="G68" s="2">
        <v>17.533000000000001</v>
      </c>
      <c r="H68" s="2"/>
      <c r="I68" s="2"/>
      <c r="J68" s="2">
        <v>17.466000000000001</v>
      </c>
      <c r="K68" s="2"/>
      <c r="L68" s="2">
        <v>17.533000000000001</v>
      </c>
      <c r="M68" s="3" t="s">
        <v>149</v>
      </c>
    </row>
    <row r="69" spans="1:14" x14ac:dyDescent="0.35">
      <c r="A69" s="2" t="s">
        <v>152</v>
      </c>
      <c r="B69" s="2" t="s">
        <v>153</v>
      </c>
      <c r="C69" s="1" t="str">
        <f t="shared" si="1"/>
        <v>C5Dr.1r/C5Dr.1n</v>
      </c>
      <c r="D69" s="2">
        <v>17.824999999999999</v>
      </c>
      <c r="E69" s="2">
        <v>17.716999999999999</v>
      </c>
      <c r="F69" s="2">
        <v>17.716999999999999</v>
      </c>
      <c r="G69" s="2">
        <v>17.716999999999999</v>
      </c>
      <c r="H69" s="2"/>
      <c r="I69" s="2"/>
      <c r="J69" s="2">
        <v>17.634</v>
      </c>
      <c r="K69" s="2"/>
      <c r="L69" s="2">
        <v>17.716999999999999</v>
      </c>
      <c r="M69" s="3" t="s">
        <v>149</v>
      </c>
    </row>
    <row r="70" spans="1:14" x14ac:dyDescent="0.35">
      <c r="A70" s="2" t="s">
        <v>154</v>
      </c>
      <c r="B70" s="2" t="s">
        <v>155</v>
      </c>
      <c r="C70" s="1" t="str">
        <f t="shared" si="1"/>
        <v>C5Dr.1n/C5Dr.2r</v>
      </c>
      <c r="D70" s="2">
        <v>17.853000000000002</v>
      </c>
      <c r="E70" s="2">
        <v>17.739999999999998</v>
      </c>
      <c r="F70" s="2">
        <v>17.739999999999998</v>
      </c>
      <c r="G70" s="2">
        <v>17.739999999999998</v>
      </c>
      <c r="H70" s="2"/>
      <c r="I70" s="2"/>
      <c r="J70" s="2">
        <v>17.675999999999998</v>
      </c>
      <c r="K70" s="2"/>
      <c r="L70" s="2">
        <v>17.739999999999998</v>
      </c>
      <c r="M70" s="3" t="s">
        <v>149</v>
      </c>
    </row>
    <row r="71" spans="1:14" x14ac:dyDescent="0.35">
      <c r="A71" s="2" t="s">
        <v>156</v>
      </c>
      <c r="B71" s="2" t="s">
        <v>157</v>
      </c>
      <c r="C71" s="1" t="str">
        <f t="shared" si="1"/>
        <v>C5Dr.2r/C5En</v>
      </c>
      <c r="D71" s="2">
        <v>18.280999999999999</v>
      </c>
      <c r="E71" s="2">
        <v>18.056000000000001</v>
      </c>
      <c r="F71" s="2">
        <v>18.056000000000001</v>
      </c>
      <c r="G71" s="2">
        <v>18.056000000000001</v>
      </c>
      <c r="H71" s="2"/>
      <c r="I71" s="2"/>
      <c r="J71" s="5">
        <v>18.007000000000001</v>
      </c>
      <c r="K71" s="1" t="s">
        <v>158</v>
      </c>
      <c r="L71" s="2">
        <v>18.056000000000001</v>
      </c>
      <c r="M71" s="3" t="s">
        <v>149</v>
      </c>
    </row>
    <row r="72" spans="1:14" x14ac:dyDescent="0.35">
      <c r="A72" s="2" t="s">
        <v>159</v>
      </c>
      <c r="B72" s="2" t="s">
        <v>160</v>
      </c>
      <c r="C72" s="1" t="str">
        <f t="shared" si="1"/>
        <v>C5En/C5Er</v>
      </c>
      <c r="D72" s="2">
        <v>18.780999999999999</v>
      </c>
      <c r="E72" s="2">
        <v>18.524000000000001</v>
      </c>
      <c r="F72" s="2">
        <v>18.524000000000001</v>
      </c>
      <c r="G72" s="2">
        <v>18.524000000000001</v>
      </c>
      <c r="H72" s="2"/>
      <c r="I72" s="2"/>
      <c r="J72" s="1">
        <v>18.497</v>
      </c>
      <c r="K72" s="1" t="s">
        <v>161</v>
      </c>
      <c r="L72" s="2">
        <v>18.524000000000001</v>
      </c>
      <c r="M72" s="3" t="s">
        <v>149</v>
      </c>
    </row>
    <row r="73" spans="1:14" x14ac:dyDescent="0.35">
      <c r="A73" s="2" t="s">
        <v>162</v>
      </c>
      <c r="B73" s="2" t="s">
        <v>163</v>
      </c>
      <c r="C73" s="1" t="str">
        <f t="shared" si="1"/>
        <v>C5Er/C6n</v>
      </c>
      <c r="D73" s="2">
        <v>19.047999999999998</v>
      </c>
      <c r="E73" s="2">
        <v>18.748000000000001</v>
      </c>
      <c r="F73" s="2">
        <v>18.748000000000001</v>
      </c>
      <c r="G73" s="2">
        <v>18.748000000000001</v>
      </c>
      <c r="H73" s="2"/>
      <c r="I73" s="2"/>
      <c r="J73" s="1">
        <v>18.635999999999999</v>
      </c>
      <c r="K73" s="1"/>
      <c r="L73" s="2">
        <v>18.748000000000001</v>
      </c>
      <c r="M73" s="3" t="s">
        <v>149</v>
      </c>
    </row>
    <row r="74" spans="1:14" s="7" customFormat="1" x14ac:dyDescent="0.35">
      <c r="A74" s="6" t="s">
        <v>164</v>
      </c>
      <c r="B74" s="6" t="s">
        <v>165</v>
      </c>
      <c r="C74" s="1" t="str">
        <f t="shared" si="1"/>
        <v>C6n/C6r</v>
      </c>
      <c r="D74" s="6">
        <v>20.131</v>
      </c>
      <c r="E74" s="6">
        <v>19.722000000000001</v>
      </c>
      <c r="F74" s="6">
        <v>19.722000000000001</v>
      </c>
      <c r="G74" s="6">
        <v>19.722000000000001</v>
      </c>
      <c r="H74" s="6"/>
      <c r="I74" s="6"/>
      <c r="J74" s="1">
        <v>19.535</v>
      </c>
      <c r="K74" s="1"/>
      <c r="L74" s="6">
        <v>19.726512</v>
      </c>
      <c r="M74" s="7" t="s">
        <v>166</v>
      </c>
      <c r="N74" s="7" t="s">
        <v>167</v>
      </c>
    </row>
    <row r="75" spans="1:14" x14ac:dyDescent="0.35">
      <c r="A75" s="2" t="s">
        <v>168</v>
      </c>
      <c r="B75" s="2" t="s">
        <v>169</v>
      </c>
      <c r="C75" s="1" t="str">
        <f t="shared" si="1"/>
        <v>C6r/C6An.1n</v>
      </c>
      <c r="D75" s="2">
        <v>20.518000000000001</v>
      </c>
      <c r="E75" s="2">
        <v>20.04</v>
      </c>
      <c r="F75" s="2">
        <v>20.04</v>
      </c>
      <c r="G75" s="2">
        <v>20.04</v>
      </c>
      <c r="H75" s="2"/>
      <c r="I75" s="2"/>
      <c r="J75" s="1">
        <v>19.978999999999999</v>
      </c>
      <c r="K75" s="1"/>
      <c r="L75" s="2">
        <v>20.100332999999999</v>
      </c>
      <c r="M75" s="3" t="s">
        <v>166</v>
      </c>
      <c r="N75" s="3" t="s">
        <v>167</v>
      </c>
    </row>
    <row r="76" spans="1:14" x14ac:dyDescent="0.35">
      <c r="A76" s="2" t="s">
        <v>170</v>
      </c>
      <c r="B76" s="2" t="s">
        <v>171</v>
      </c>
      <c r="C76" s="1" t="str">
        <f t="shared" si="1"/>
        <v>C6An.1n/C6An.1r</v>
      </c>
      <c r="D76" s="2">
        <v>20.725000000000001</v>
      </c>
      <c r="E76" s="2">
        <v>20.213000000000001</v>
      </c>
      <c r="F76" s="2">
        <v>20.213000000000001</v>
      </c>
      <c r="G76" s="2">
        <v>20.213000000000001</v>
      </c>
      <c r="H76" s="2"/>
      <c r="I76" s="2"/>
      <c r="J76" s="1">
        <v>20.181999999999999</v>
      </c>
      <c r="K76" s="1" t="s">
        <v>158</v>
      </c>
      <c r="L76" s="2">
        <v>20.236488999999999</v>
      </c>
      <c r="M76" s="3" t="s">
        <v>166</v>
      </c>
      <c r="N76" s="3" t="s">
        <v>167</v>
      </c>
    </row>
    <row r="77" spans="1:14" x14ac:dyDescent="0.35">
      <c r="A77" s="2" t="s">
        <v>172</v>
      </c>
      <c r="B77" s="2" t="s">
        <v>173</v>
      </c>
      <c r="C77" s="1" t="str">
        <f t="shared" si="1"/>
        <v>C6An.1r/C6An.2n</v>
      </c>
      <c r="D77" s="2">
        <v>20.995999999999999</v>
      </c>
      <c r="E77" s="2">
        <v>20.439</v>
      </c>
      <c r="F77" s="2">
        <v>20.439</v>
      </c>
      <c r="G77" s="2">
        <v>20.439</v>
      </c>
      <c r="H77" s="2"/>
      <c r="I77" s="2"/>
      <c r="J77" s="1">
        <v>20.448</v>
      </c>
      <c r="K77" s="1"/>
      <c r="L77" s="2">
        <v>20.406721999999998</v>
      </c>
      <c r="M77" s="3" t="s">
        <v>166</v>
      </c>
      <c r="N77" s="3" t="s">
        <v>167</v>
      </c>
    </row>
    <row r="78" spans="1:14" x14ac:dyDescent="0.35">
      <c r="A78" s="2" t="s">
        <v>174</v>
      </c>
      <c r="B78" s="2" t="s">
        <v>175</v>
      </c>
      <c r="C78" s="1" t="str">
        <f t="shared" si="1"/>
        <v>C6An.2n/C6Ar</v>
      </c>
      <c r="D78" s="2">
        <v>21.32</v>
      </c>
      <c r="E78" s="2">
        <v>20.709</v>
      </c>
      <c r="F78" s="2">
        <v>20.709</v>
      </c>
      <c r="G78" s="2">
        <v>20.709</v>
      </c>
      <c r="H78" s="2"/>
      <c r="I78" s="2"/>
      <c r="J78" s="1">
        <v>20.765000000000001</v>
      </c>
      <c r="K78" s="1" t="s">
        <v>161</v>
      </c>
      <c r="L78" s="2">
        <v>20.672937999999998</v>
      </c>
      <c r="M78" s="3" t="s">
        <v>166</v>
      </c>
      <c r="N78" s="3" t="s">
        <v>167</v>
      </c>
    </row>
    <row r="79" spans="1:14" x14ac:dyDescent="0.35">
      <c r="A79" s="2" t="s">
        <v>176</v>
      </c>
      <c r="B79" s="2" t="s">
        <v>177</v>
      </c>
      <c r="C79" s="1" t="str">
        <f t="shared" si="1"/>
        <v>C6Ar/C6AAn</v>
      </c>
      <c r="D79" s="2">
        <v>21.768000000000001</v>
      </c>
      <c r="E79" s="2">
        <v>21.082999999999998</v>
      </c>
      <c r="F79" s="2">
        <v>21.082999999999998</v>
      </c>
      <c r="G79" s="2">
        <v>21.082999999999998</v>
      </c>
      <c r="H79" s="2"/>
      <c r="I79" s="2"/>
      <c r="J79" s="1">
        <v>21.13</v>
      </c>
      <c r="K79" s="1" t="s">
        <v>158</v>
      </c>
      <c r="L79" s="2">
        <v>21.058230999999999</v>
      </c>
      <c r="M79" s="3" t="s">
        <v>166</v>
      </c>
      <c r="N79" s="3" t="s">
        <v>167</v>
      </c>
    </row>
    <row r="80" spans="1:14" x14ac:dyDescent="0.35">
      <c r="A80" s="2" t="s">
        <v>178</v>
      </c>
      <c r="B80" s="2" t="s">
        <v>179</v>
      </c>
      <c r="C80" s="1" t="str">
        <f t="shared" si="1"/>
        <v>C6AAn/C6AAr.1r</v>
      </c>
      <c r="D80" s="2">
        <v>21.859000000000002</v>
      </c>
      <c r="E80" s="2">
        <v>21.158999999999999</v>
      </c>
      <c r="F80" s="2">
        <v>21.158999999999999</v>
      </c>
      <c r="G80" s="2">
        <v>21.158999999999999</v>
      </c>
      <c r="H80" s="2"/>
      <c r="I80" s="2"/>
      <c r="J80" s="1">
        <v>21.204000000000001</v>
      </c>
      <c r="K80" s="1"/>
      <c r="L80" s="2">
        <v>21.202072000000001</v>
      </c>
      <c r="M80" s="3" t="s">
        <v>166</v>
      </c>
      <c r="N80" s="3" t="s">
        <v>167</v>
      </c>
    </row>
    <row r="81" spans="1:14" x14ac:dyDescent="0.35">
      <c r="A81" s="2" t="s">
        <v>180</v>
      </c>
      <c r="B81" s="2" t="s">
        <v>181</v>
      </c>
      <c r="C81" s="1" t="str">
        <f t="shared" si="1"/>
        <v>C6AAr.1r/C6AAr.1n</v>
      </c>
      <c r="D81" s="2">
        <v>22.151</v>
      </c>
      <c r="E81" s="2">
        <v>21.402999999999999</v>
      </c>
      <c r="F81" s="2">
        <v>21.402999999999999</v>
      </c>
      <c r="G81" s="2">
        <v>21.402999999999999</v>
      </c>
      <c r="H81" s="2"/>
      <c r="I81" s="2"/>
      <c r="J81" s="1">
        <v>21.440999999999999</v>
      </c>
      <c r="K81" s="1"/>
      <c r="L81" s="2">
        <v>21.487524000000001</v>
      </c>
      <c r="M81" s="3" t="s">
        <v>166</v>
      </c>
      <c r="N81" s="3" t="s">
        <v>167</v>
      </c>
    </row>
    <row r="82" spans="1:14" x14ac:dyDescent="0.35">
      <c r="A82" s="2" t="s">
        <v>182</v>
      </c>
      <c r="B82" s="2" t="s">
        <v>183</v>
      </c>
      <c r="C82" s="1" t="str">
        <f t="shared" si="1"/>
        <v>C6AAr.1n/C6AAr.2r</v>
      </c>
      <c r="D82" s="2">
        <v>22.248000000000001</v>
      </c>
      <c r="E82" s="2">
        <v>21.483000000000001</v>
      </c>
      <c r="F82" s="2">
        <v>21.483000000000001</v>
      </c>
      <c r="G82" s="2">
        <v>21.483000000000001</v>
      </c>
      <c r="H82" s="2"/>
      <c r="I82" s="2"/>
      <c r="J82" s="1">
        <v>21.518999999999998</v>
      </c>
      <c r="K82" s="1"/>
      <c r="L82" s="2">
        <v>21.544360000000001</v>
      </c>
      <c r="M82" s="3" t="s">
        <v>166</v>
      </c>
      <c r="N82" s="3" t="s">
        <v>167</v>
      </c>
    </row>
    <row r="83" spans="1:14" x14ac:dyDescent="0.35">
      <c r="A83" s="2" t="s">
        <v>184</v>
      </c>
      <c r="B83" s="2" t="s">
        <v>185</v>
      </c>
      <c r="C83" s="1" t="str">
        <f t="shared" si="1"/>
        <v>C6AAr.2r/C6AAr.2n</v>
      </c>
      <c r="D83" s="2">
        <v>22.459</v>
      </c>
      <c r="E83" s="2">
        <v>21.658999999999999</v>
      </c>
      <c r="F83" s="2">
        <v>21.658999999999999</v>
      </c>
      <c r="G83" s="2">
        <v>21.658999999999999</v>
      </c>
      <c r="H83" s="2"/>
      <c r="I83" s="2"/>
      <c r="J83" s="1">
        <v>21.690999999999999</v>
      </c>
      <c r="K83" s="1" t="s">
        <v>161</v>
      </c>
      <c r="L83" s="2">
        <v>21.687864000000001</v>
      </c>
      <c r="M83" s="3" t="s">
        <v>166</v>
      </c>
      <c r="N83" s="3" t="s">
        <v>167</v>
      </c>
    </row>
    <row r="84" spans="1:14" x14ac:dyDescent="0.35">
      <c r="A84" s="2" t="s">
        <v>186</v>
      </c>
      <c r="B84" s="2" t="s">
        <v>187</v>
      </c>
      <c r="C84" s="1" t="str">
        <f t="shared" si="1"/>
        <v>C6AAr.2n/C6AAr.3r</v>
      </c>
      <c r="D84" s="2">
        <v>22.492999999999999</v>
      </c>
      <c r="E84" s="2">
        <v>21.687999999999999</v>
      </c>
      <c r="F84" s="2">
        <v>21.687999999999999</v>
      </c>
      <c r="G84" s="2">
        <v>21.687999999999999</v>
      </c>
      <c r="H84" s="2"/>
      <c r="I84" s="2"/>
      <c r="J84" s="1">
        <v>21.722000000000001</v>
      </c>
      <c r="K84" s="1" t="s">
        <v>158</v>
      </c>
      <c r="L84" s="2">
        <v>21.73272</v>
      </c>
      <c r="M84" s="3" t="s">
        <v>166</v>
      </c>
      <c r="N84" s="3" t="s">
        <v>167</v>
      </c>
    </row>
    <row r="85" spans="1:14" x14ac:dyDescent="0.35">
      <c r="A85" s="2" t="s">
        <v>188</v>
      </c>
      <c r="B85" s="2" t="s">
        <v>189</v>
      </c>
      <c r="C85" s="1" t="str">
        <f t="shared" si="1"/>
        <v>C6AAr.3r/C6Bn.1n</v>
      </c>
      <c r="D85" s="2">
        <v>22.588000000000001</v>
      </c>
      <c r="E85" s="2">
        <v>21.766999999999999</v>
      </c>
      <c r="F85" s="2">
        <v>21.766999999999999</v>
      </c>
      <c r="G85" s="2">
        <v>21.766999999999999</v>
      </c>
      <c r="H85" s="2"/>
      <c r="I85" s="2"/>
      <c r="J85" s="1">
        <v>21.806000000000001</v>
      </c>
      <c r="K85" s="1"/>
      <c r="L85" s="2">
        <v>21.785632</v>
      </c>
      <c r="M85" s="3" t="s">
        <v>166</v>
      </c>
      <c r="N85" s="3" t="s">
        <v>167</v>
      </c>
    </row>
    <row r="86" spans="1:14" x14ac:dyDescent="0.35">
      <c r="A86" s="2" t="s">
        <v>190</v>
      </c>
      <c r="B86" s="2" t="s">
        <v>191</v>
      </c>
      <c r="C86" s="1" t="str">
        <f t="shared" si="1"/>
        <v>C6Bn.1n/C6Bn.1r</v>
      </c>
      <c r="D86" s="2">
        <v>22.75</v>
      </c>
      <c r="E86" s="2">
        <v>21.936</v>
      </c>
      <c r="F86" s="2">
        <v>21.936</v>
      </c>
      <c r="G86" s="2">
        <v>21.936</v>
      </c>
      <c r="H86" s="2"/>
      <c r="I86" s="2">
        <v>21.984999999999999</v>
      </c>
      <c r="J86" s="5">
        <v>21.984999999999999</v>
      </c>
      <c r="K86" s="1" t="s">
        <v>192</v>
      </c>
      <c r="L86" s="2">
        <v>21.99099</v>
      </c>
      <c r="M86" s="3" t="s">
        <v>166</v>
      </c>
      <c r="N86" s="3" t="s">
        <v>167</v>
      </c>
    </row>
    <row r="87" spans="1:14" x14ac:dyDescent="0.35">
      <c r="A87" s="2" t="s">
        <v>193</v>
      </c>
      <c r="B87" s="2" t="s">
        <v>194</v>
      </c>
      <c r="C87" s="1" t="str">
        <f t="shared" si="1"/>
        <v>C6Bn.1r/C6Bn.2n</v>
      </c>
      <c r="D87" s="2">
        <v>22.803999999999998</v>
      </c>
      <c r="E87" s="2">
        <v>21.992000000000001</v>
      </c>
      <c r="F87" s="2">
        <v>21.992000000000001</v>
      </c>
      <c r="G87" s="2">
        <v>21.992000000000001</v>
      </c>
      <c r="H87" s="2"/>
      <c r="I87" s="2">
        <v>22.042000000000002</v>
      </c>
      <c r="J87" s="5">
        <v>22.042000000000002</v>
      </c>
      <c r="K87" s="5"/>
      <c r="L87" s="2">
        <v>22.050087000000001</v>
      </c>
      <c r="M87" s="3" t="s">
        <v>166</v>
      </c>
      <c r="N87" s="3" t="s">
        <v>167</v>
      </c>
    </row>
    <row r="88" spans="1:14" x14ac:dyDescent="0.35">
      <c r="A88" s="2" t="s">
        <v>195</v>
      </c>
      <c r="B88" s="2" t="s">
        <v>196</v>
      </c>
      <c r="C88" s="1" t="str">
        <f t="shared" si="1"/>
        <v>C6Bn.2n/C6Br</v>
      </c>
      <c r="D88" s="2">
        <v>23.068999999999999</v>
      </c>
      <c r="E88" s="2">
        <v>22.268000000000001</v>
      </c>
      <c r="F88" s="2">
        <v>22.268000000000001</v>
      </c>
      <c r="G88" s="2">
        <v>22.268000000000001</v>
      </c>
      <c r="H88" s="2">
        <v>22.3</v>
      </c>
      <c r="I88" s="2">
        <v>22.341999999999999</v>
      </c>
      <c r="J88" s="5">
        <v>22.341999999999999</v>
      </c>
      <c r="K88" s="5"/>
      <c r="L88" s="2">
        <v>22.312954000000001</v>
      </c>
      <c r="M88" s="3" t="s">
        <v>166</v>
      </c>
      <c r="N88" s="3" t="s">
        <v>167</v>
      </c>
    </row>
    <row r="89" spans="1:14" x14ac:dyDescent="0.35">
      <c r="A89" s="2" t="s">
        <v>197</v>
      </c>
      <c r="B89" s="2" t="s">
        <v>198</v>
      </c>
      <c r="C89" s="1" t="str">
        <f t="shared" si="1"/>
        <v>C6Br/C6Cn.1n</v>
      </c>
      <c r="D89" s="2">
        <v>23.353000000000002</v>
      </c>
      <c r="E89" s="2">
        <v>22.564</v>
      </c>
      <c r="F89" s="2">
        <v>22.564</v>
      </c>
      <c r="G89" s="2">
        <v>22.564</v>
      </c>
      <c r="H89" s="2">
        <v>22.608000000000001</v>
      </c>
      <c r="I89" s="2">
        <v>22.620999999999999</v>
      </c>
      <c r="J89" s="5">
        <v>22.620999999999999</v>
      </c>
      <c r="K89" s="5"/>
      <c r="L89" s="2">
        <v>22.626469</v>
      </c>
      <c r="M89" s="3" t="s">
        <v>166</v>
      </c>
      <c r="N89" s="3" t="s">
        <v>167</v>
      </c>
    </row>
    <row r="90" spans="1:14" x14ac:dyDescent="0.35">
      <c r="A90" s="2" t="s">
        <v>199</v>
      </c>
      <c r="B90" s="2" t="s">
        <v>200</v>
      </c>
      <c r="C90" s="1" t="str">
        <f t="shared" si="1"/>
        <v>C6Cn.1n/C6Cn.1r</v>
      </c>
      <c r="D90" s="2">
        <v>23.535</v>
      </c>
      <c r="E90" s="2">
        <v>22.754000000000001</v>
      </c>
      <c r="F90" s="2">
        <v>22.754000000000001</v>
      </c>
      <c r="G90" s="2">
        <v>22.754000000000001</v>
      </c>
      <c r="H90" s="2">
        <v>22.76</v>
      </c>
      <c r="I90" s="2">
        <v>22.792000000000002</v>
      </c>
      <c r="J90" s="5">
        <v>22.792000000000002</v>
      </c>
      <c r="K90" s="5"/>
      <c r="L90" s="2">
        <v>22.794326000000002</v>
      </c>
      <c r="M90" s="3" t="s">
        <v>166</v>
      </c>
      <c r="N90" s="3" t="s">
        <v>167</v>
      </c>
    </row>
    <row r="91" spans="1:14" x14ac:dyDescent="0.35">
      <c r="A91" s="2" t="s">
        <v>201</v>
      </c>
      <c r="B91" s="2" t="s">
        <v>202</v>
      </c>
      <c r="C91" s="1" t="str">
        <f t="shared" si="1"/>
        <v>C6Cn.1r/C6Cn.2n</v>
      </c>
      <c r="D91" s="2">
        <v>23.677</v>
      </c>
      <c r="E91" s="2">
        <v>22.902000000000001</v>
      </c>
      <c r="F91" s="2">
        <v>22.902000000000001</v>
      </c>
      <c r="G91" s="2">
        <v>22.902000000000001</v>
      </c>
      <c r="H91" s="2">
        <v>22.943999999999999</v>
      </c>
      <c r="I91" s="2">
        <v>22.972999999999999</v>
      </c>
      <c r="J91" s="5">
        <v>22.972999999999999</v>
      </c>
      <c r="K91" s="5"/>
      <c r="L91" s="2">
        <v>22.957353000000001</v>
      </c>
      <c r="M91" s="3" t="s">
        <v>166</v>
      </c>
      <c r="N91" s="3" t="s">
        <v>167</v>
      </c>
    </row>
    <row r="92" spans="1:14" x14ac:dyDescent="0.35">
      <c r="A92" s="2" t="s">
        <v>203</v>
      </c>
      <c r="B92" s="2" t="s">
        <v>204</v>
      </c>
      <c r="C92" s="1" t="str">
        <f t="shared" si="1"/>
        <v>C6Cn.2n/C6Cn.2r</v>
      </c>
      <c r="D92" s="2">
        <v>23.8</v>
      </c>
      <c r="E92" s="2"/>
      <c r="F92" s="2">
        <v>23.03</v>
      </c>
      <c r="G92" s="2">
        <v>23.03</v>
      </c>
      <c r="H92" s="2">
        <v>23.052</v>
      </c>
      <c r="I92" s="2">
        <v>23.04</v>
      </c>
      <c r="J92" s="5">
        <v>23.04</v>
      </c>
      <c r="K92" s="5"/>
      <c r="L92" s="2">
        <v>23.039287999999999</v>
      </c>
      <c r="M92" s="3" t="s">
        <v>166</v>
      </c>
      <c r="N92" s="3" t="s">
        <v>167</v>
      </c>
    </row>
    <row r="93" spans="1:14" x14ac:dyDescent="0.35">
      <c r="A93" s="2" t="s">
        <v>205</v>
      </c>
      <c r="B93" s="2" t="s">
        <v>206</v>
      </c>
      <c r="C93" s="1" t="str">
        <f t="shared" si="1"/>
        <v>C6Cn.2r/C6Cn.3n</v>
      </c>
      <c r="D93" s="2">
        <v>23.998999999999999</v>
      </c>
      <c r="E93" s="2"/>
      <c r="F93" s="2">
        <v>23.233000000000001</v>
      </c>
      <c r="G93" s="2">
        <v>23.233000000000001</v>
      </c>
      <c r="H93" s="2">
        <v>23.247</v>
      </c>
      <c r="I93" s="2">
        <v>23.212</v>
      </c>
      <c r="J93" s="5">
        <v>23.212</v>
      </c>
      <c r="K93" s="5"/>
      <c r="L93" s="2">
        <v>23.214879</v>
      </c>
      <c r="M93" s="3" t="s">
        <v>166</v>
      </c>
      <c r="N93" s="3" t="s">
        <v>167</v>
      </c>
    </row>
    <row r="94" spans="1:14" x14ac:dyDescent="0.35">
      <c r="A94" s="2" t="s">
        <v>207</v>
      </c>
      <c r="B94" s="2" t="s">
        <v>208</v>
      </c>
      <c r="C94" s="1" t="str">
        <f t="shared" si="1"/>
        <v>C6Cn.3n/C6Cr</v>
      </c>
      <c r="D94" s="2">
        <v>24.117999999999999</v>
      </c>
      <c r="E94" s="2"/>
      <c r="F94" s="2">
        <v>23.295000000000002</v>
      </c>
      <c r="G94" s="2">
        <v>23.295000000000002</v>
      </c>
      <c r="H94" s="2">
        <v>23.332000000000001</v>
      </c>
      <c r="I94" s="2">
        <v>23.318000000000001</v>
      </c>
      <c r="J94" s="5">
        <v>23.318000000000001</v>
      </c>
      <c r="K94" s="5"/>
      <c r="L94" s="2">
        <v>23.322583999999999</v>
      </c>
      <c r="M94" s="3" t="s">
        <v>166</v>
      </c>
      <c r="N94" s="3" t="s">
        <v>167</v>
      </c>
    </row>
    <row r="95" spans="1:14" x14ac:dyDescent="0.35">
      <c r="A95" s="2" t="s">
        <v>209</v>
      </c>
      <c r="B95" s="2" t="s">
        <v>210</v>
      </c>
      <c r="C95" s="1" t="str">
        <f t="shared" si="1"/>
        <v>C6Cr/C7n.1n</v>
      </c>
      <c r="D95" s="2">
        <v>24.73</v>
      </c>
      <c r="E95" s="2"/>
      <c r="F95" s="2">
        <v>23.962</v>
      </c>
      <c r="G95" s="2">
        <v>23.962</v>
      </c>
      <c r="H95" s="2"/>
      <c r="I95" s="2">
        <v>24.024999999999999</v>
      </c>
      <c r="J95" s="5">
        <v>24.024999999999999</v>
      </c>
      <c r="K95" s="5"/>
      <c r="L95" s="2">
        <v>24.032212000000001</v>
      </c>
      <c r="M95" s="3" t="s">
        <v>166</v>
      </c>
      <c r="N95" s="3" t="s">
        <v>167</v>
      </c>
    </row>
    <row r="96" spans="1:14" x14ac:dyDescent="0.35">
      <c r="A96" s="2" t="s">
        <v>211</v>
      </c>
      <c r="B96" s="2" t="s">
        <v>212</v>
      </c>
      <c r="C96" s="1" t="str">
        <f t="shared" si="1"/>
        <v>C7n.1n/C7n.1r</v>
      </c>
      <c r="D96" s="2">
        <v>24.780999999999999</v>
      </c>
      <c r="E96" s="2"/>
      <c r="F96" s="2">
        <v>24</v>
      </c>
      <c r="G96" s="2">
        <v>24</v>
      </c>
      <c r="H96" s="2"/>
      <c r="I96" s="2">
        <v>24.061</v>
      </c>
      <c r="J96" s="5">
        <v>24.061</v>
      </c>
      <c r="K96" s="5"/>
      <c r="L96" s="2">
        <v>24.057039</v>
      </c>
      <c r="M96" s="3" t="s">
        <v>166</v>
      </c>
      <c r="N96" s="3" t="s">
        <v>167</v>
      </c>
    </row>
    <row r="97" spans="1:14" x14ac:dyDescent="0.35">
      <c r="A97" s="2" t="s">
        <v>213</v>
      </c>
      <c r="B97" s="2" t="s">
        <v>214</v>
      </c>
      <c r="C97" s="1" t="str">
        <f t="shared" si="1"/>
        <v>C7n.1r/C7n.2n</v>
      </c>
      <c r="D97" s="2">
        <v>24.835000000000001</v>
      </c>
      <c r="E97" s="2"/>
      <c r="F97" s="2">
        <v>24.109000000000002</v>
      </c>
      <c r="G97" s="2">
        <v>24.109000000000002</v>
      </c>
      <c r="H97" s="2"/>
      <c r="I97" s="2">
        <v>24.123999999999999</v>
      </c>
      <c r="J97" s="5">
        <v>24.123999999999999</v>
      </c>
      <c r="K97" s="5"/>
      <c r="L97" s="2">
        <v>24.115289000000001</v>
      </c>
      <c r="M97" s="3" t="s">
        <v>166</v>
      </c>
      <c r="N97" s="3" t="s">
        <v>167</v>
      </c>
    </row>
    <row r="98" spans="1:14" x14ac:dyDescent="0.35">
      <c r="A98" s="2" t="s">
        <v>215</v>
      </c>
      <c r="B98" s="2" t="s">
        <v>216</v>
      </c>
      <c r="C98" s="1" t="str">
        <f t="shared" si="1"/>
        <v>C7n.2n/C7r</v>
      </c>
      <c r="D98" s="2">
        <v>25.183</v>
      </c>
      <c r="E98" s="2"/>
      <c r="F98" s="2">
        <v>24.474</v>
      </c>
      <c r="G98" s="2">
        <v>24.474</v>
      </c>
      <c r="H98" s="2"/>
      <c r="I98" s="2"/>
      <c r="J98" s="1">
        <v>24.459</v>
      </c>
      <c r="K98" s="5"/>
      <c r="L98" s="2">
        <v>24.462091999999998</v>
      </c>
      <c r="M98" s="3" t="s">
        <v>166</v>
      </c>
      <c r="N98" s="3" t="s">
        <v>167</v>
      </c>
    </row>
    <row r="99" spans="1:14" x14ac:dyDescent="0.35">
      <c r="A99" s="2" t="s">
        <v>217</v>
      </c>
      <c r="B99" s="2" t="s">
        <v>218</v>
      </c>
      <c r="C99" s="1" t="str">
        <f t="shared" si="1"/>
        <v>C7r/C7An</v>
      </c>
      <c r="D99" s="2">
        <v>25.495999999999999</v>
      </c>
      <c r="E99" s="2"/>
      <c r="F99" s="2">
        <v>24.760999999999999</v>
      </c>
      <c r="G99" s="2">
        <v>24.760999999999999</v>
      </c>
      <c r="H99" s="2"/>
      <c r="I99" s="2"/>
      <c r="J99" s="1">
        <v>24.654</v>
      </c>
      <c r="K99" s="5"/>
      <c r="L99" s="2">
        <v>24.768415999999998</v>
      </c>
      <c r="M99" s="3" t="s">
        <v>166</v>
      </c>
      <c r="N99" s="3" t="s">
        <v>167</v>
      </c>
    </row>
    <row r="100" spans="1:14" x14ac:dyDescent="0.35">
      <c r="A100" s="2" t="s">
        <v>219</v>
      </c>
      <c r="B100" s="2" t="s">
        <v>220</v>
      </c>
      <c r="C100" s="1" t="str">
        <f t="shared" si="1"/>
        <v>C7An/C7Ar</v>
      </c>
      <c r="D100" s="2">
        <v>25.648</v>
      </c>
      <c r="E100" s="2"/>
      <c r="F100" s="2">
        <v>24.984000000000002</v>
      </c>
      <c r="G100" s="2">
        <v>24.984000000000002</v>
      </c>
      <c r="H100" s="2"/>
      <c r="I100" s="2"/>
      <c r="J100" s="1">
        <v>24.765999999999998</v>
      </c>
      <c r="K100" s="5"/>
      <c r="L100" s="2">
        <v>24.894566000000001</v>
      </c>
      <c r="M100" s="3" t="s">
        <v>166</v>
      </c>
      <c r="N100" s="3" t="s">
        <v>167</v>
      </c>
    </row>
    <row r="101" spans="1:14" x14ac:dyDescent="0.35">
      <c r="A101" s="2" t="s">
        <v>221</v>
      </c>
      <c r="B101" s="2" t="s">
        <v>222</v>
      </c>
      <c r="C101" s="1" t="str">
        <f t="shared" si="1"/>
        <v>C7Ar/</v>
      </c>
      <c r="D101" s="2">
        <v>25.823</v>
      </c>
      <c r="E101" s="2"/>
      <c r="F101" s="2">
        <v>25.099</v>
      </c>
      <c r="G101" s="2">
        <v>25.099</v>
      </c>
      <c r="H101" s="2"/>
      <c r="I101" s="2"/>
      <c r="J101" s="5">
        <v>25.099</v>
      </c>
      <c r="K101" s="1" t="s">
        <v>65</v>
      </c>
      <c r="L101" s="2">
        <v>25.049133999999999</v>
      </c>
      <c r="M101" s="3" t="s">
        <v>166</v>
      </c>
      <c r="N101" s="3" t="s">
        <v>167</v>
      </c>
    </row>
  </sheetData>
  <autoFilter ref="A1:N108" xr:uid="{F3453210-D010-2947-8510-2E571B8328D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Preliminary MioOcean GPTS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Drury, Anna Joy J. (Dr.)</dc:creator>
  <cp:lastModifiedBy>Wong Hearing, Thomas W. (Dr.)</cp:lastModifiedBy>
  <dcterms:created xsi:type="dcterms:W3CDTF">2025-10-06T14:56:24Z</dcterms:created>
  <dcterms:modified xsi:type="dcterms:W3CDTF">2025-10-24T16:19:06Z</dcterms:modified>
</cp:coreProperties>
</file>